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olders\MIS\"/>
    </mc:Choice>
  </mc:AlternateContent>
  <xr:revisionPtr revIDLastSave="0" documentId="8_{A8AA8443-F6F4-4475-AC65-9CDABDC708B8}" xr6:coauthVersionLast="47" xr6:coauthVersionMax="47" xr10:uidLastSave="{00000000-0000-0000-0000-000000000000}"/>
  <bookViews>
    <workbookView xWindow="-120" yWindow="-120" windowWidth="29040" windowHeight="15840" activeTab="1" xr2:uid="{687D12C6-A8C2-4C0A-8EC8-0BE63914F5E4}"/>
  </bookViews>
  <sheets>
    <sheet name="PSMG" sheetId="1" r:id="rId1"/>
    <sheet name="SCMG" sheetId="2" r:id="rId2"/>
  </sheets>
  <definedNames>
    <definedName name="_xlnm._FilterDatabase" localSheetId="0" hidden="1">PSMG!$A$1:$O$336</definedName>
    <definedName name="_xlnm._FilterDatabase" localSheetId="1" hidden="1">SCMG!$A$1:$O$443</definedName>
  </definedNames>
  <calcPr calcId="191029"/>
</workbook>
</file>

<file path=xl/calcChain.xml><?xml version="1.0" encoding="utf-8"?>
<calcChain xmlns="http://schemas.openxmlformats.org/spreadsheetml/2006/main">
  <c r="K314" i="2" l="1"/>
  <c r="K313" i="2"/>
  <c r="K31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115" i="2"/>
  <c r="K35" i="2"/>
  <c r="K116" i="2"/>
  <c r="K37" i="2"/>
  <c r="K38" i="2"/>
  <c r="K117" i="2"/>
  <c r="K40" i="2"/>
  <c r="K118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105" i="2"/>
  <c r="K82" i="2"/>
  <c r="K106" i="2"/>
  <c r="K84" i="2"/>
  <c r="K85" i="2"/>
  <c r="K86" i="2"/>
  <c r="K305" i="2"/>
  <c r="K351" i="2"/>
  <c r="K334" i="2"/>
  <c r="K356" i="2"/>
  <c r="K336" i="2"/>
  <c r="K342" i="2"/>
  <c r="K344" i="2"/>
  <c r="K364" i="2"/>
  <c r="K366" i="2"/>
  <c r="K354" i="2"/>
  <c r="K346" i="2"/>
  <c r="K338" i="2"/>
  <c r="K360" i="2"/>
  <c r="K310" i="2"/>
  <c r="K332" i="2"/>
  <c r="K318" i="2"/>
  <c r="K348" i="2"/>
  <c r="K358" i="2"/>
  <c r="K306" i="2"/>
  <c r="K353" i="2"/>
  <c r="K335" i="2"/>
  <c r="K357" i="2"/>
  <c r="K337" i="2"/>
  <c r="K343" i="2"/>
  <c r="K345" i="2"/>
  <c r="K365" i="2"/>
  <c r="K367" i="2"/>
  <c r="K355" i="2"/>
  <c r="K347" i="2"/>
  <c r="K341" i="2"/>
  <c r="K361" i="2"/>
  <c r="K311" i="2"/>
  <c r="K333" i="2"/>
  <c r="K319" i="2"/>
  <c r="K350" i="2"/>
  <c r="K359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13" i="2"/>
  <c r="K159" i="2"/>
  <c r="K114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" i="2"/>
  <c r="K231" i="2"/>
  <c r="K3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34" i="2"/>
  <c r="K246" i="2"/>
  <c r="K36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87" i="2"/>
  <c r="K103" i="2"/>
  <c r="K111" i="2"/>
  <c r="K286" i="2"/>
  <c r="K287" i="2"/>
  <c r="K288" i="2"/>
  <c r="K289" i="2"/>
  <c r="K91" i="2"/>
  <c r="K93" i="2"/>
  <c r="K97" i="2"/>
  <c r="K327" i="2"/>
  <c r="K294" i="2"/>
  <c r="K295" i="2"/>
  <c r="K296" i="2"/>
  <c r="K297" i="2"/>
  <c r="K298" i="2"/>
  <c r="K299" i="2"/>
  <c r="K300" i="2"/>
  <c r="K301" i="2"/>
  <c r="K158" i="2"/>
  <c r="K303" i="2"/>
  <c r="K304" i="2"/>
  <c r="K245" i="2"/>
  <c r="K109" i="2"/>
  <c r="K307" i="2"/>
  <c r="K308" i="2"/>
  <c r="K309" i="2"/>
  <c r="K374" i="2"/>
  <c r="K376" i="2"/>
  <c r="K95" i="2"/>
  <c r="K101" i="2"/>
  <c r="K321" i="2"/>
  <c r="K119" i="2"/>
  <c r="K316" i="2"/>
  <c r="K317" i="2"/>
  <c r="K293" i="2"/>
  <c r="K283" i="2"/>
  <c r="K320" i="2"/>
  <c r="K99" i="2"/>
  <c r="K322" i="2"/>
  <c r="K323" i="2"/>
  <c r="K324" i="2"/>
  <c r="K325" i="2"/>
  <c r="K368" i="2"/>
  <c r="K372" i="2"/>
  <c r="K328" i="2"/>
  <c r="K329" i="2"/>
  <c r="K378" i="2"/>
  <c r="K370" i="2"/>
  <c r="K81" i="2"/>
  <c r="K230" i="2"/>
  <c r="K121" i="2"/>
  <c r="K39" i="2"/>
  <c r="K89" i="2"/>
  <c r="K4" i="2"/>
  <c r="K107" i="2"/>
  <c r="K339" i="2"/>
  <c r="K340" i="2"/>
  <c r="K285" i="2"/>
  <c r="K291" i="2"/>
  <c r="K92" i="2"/>
  <c r="K94" i="2"/>
  <c r="K98" i="2"/>
  <c r="K330" i="2"/>
  <c r="K331" i="2"/>
  <c r="K160" i="2"/>
  <c r="K349" i="2"/>
  <c r="K247" i="2"/>
  <c r="K110" i="2"/>
  <c r="K352" i="2"/>
  <c r="K375" i="2"/>
  <c r="K377" i="2"/>
  <c r="K96" i="2"/>
  <c r="K102" i="2"/>
  <c r="K326" i="2"/>
  <c r="K120" i="2"/>
  <c r="K302" i="2"/>
  <c r="K284" i="2"/>
  <c r="K100" i="2"/>
  <c r="K362" i="2"/>
  <c r="K363" i="2"/>
  <c r="K369" i="2"/>
  <c r="K373" i="2"/>
  <c r="K379" i="2"/>
  <c r="K371" i="2"/>
  <c r="K83" i="2"/>
  <c r="K232" i="2"/>
  <c r="K122" i="2"/>
  <c r="K41" i="2"/>
  <c r="K90" i="2"/>
  <c r="K5" i="2"/>
  <c r="K108" i="2"/>
  <c r="K290" i="2"/>
  <c r="K292" i="2"/>
  <c r="K88" i="2"/>
  <c r="K104" i="2"/>
  <c r="K112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8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312" i="2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185" i="1"/>
  <c r="K189" i="1"/>
  <c r="K46" i="1"/>
  <c r="K48" i="1"/>
  <c r="K101" i="1"/>
  <c r="K164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191" i="1"/>
  <c r="K258" i="1"/>
  <c r="K262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66" i="1"/>
  <c r="K18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83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93" i="1"/>
  <c r="K260" i="1"/>
  <c r="K264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8" i="1"/>
  <c r="K190" i="1"/>
  <c r="K47" i="1"/>
  <c r="K100" i="1"/>
  <c r="K149" i="1"/>
  <c r="K165" i="1"/>
  <c r="K186" i="1"/>
  <c r="K187" i="1"/>
  <c r="K180" i="1"/>
  <c r="K182" i="1"/>
  <c r="K184" i="1"/>
  <c r="K25" i="1"/>
  <c r="K192" i="1"/>
  <c r="K26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3" i="1"/>
  <c r="K259" i="1"/>
  <c r="K24" i="1"/>
  <c r="K261" i="1"/>
  <c r="K27" i="1"/>
  <c r="K263" i="1"/>
  <c r="K28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2" i="1"/>
  <c r="O443" i="2"/>
  <c r="N443" i="2"/>
  <c r="M443" i="2"/>
  <c r="L443" i="2"/>
  <c r="O442" i="2"/>
  <c r="N442" i="2"/>
  <c r="M442" i="2"/>
  <c r="L442" i="2"/>
  <c r="O441" i="2"/>
  <c r="N441" i="2"/>
  <c r="M441" i="2"/>
  <c r="L441" i="2"/>
  <c r="O440" i="2"/>
  <c r="N440" i="2"/>
  <c r="M440" i="2"/>
  <c r="L440" i="2"/>
  <c r="O439" i="2"/>
  <c r="N439" i="2"/>
  <c r="M439" i="2"/>
  <c r="L439" i="2"/>
  <c r="O438" i="2"/>
  <c r="N438" i="2"/>
  <c r="M438" i="2"/>
  <c r="L438" i="2"/>
  <c r="O437" i="2"/>
  <c r="N437" i="2"/>
  <c r="M437" i="2"/>
  <c r="L437" i="2"/>
  <c r="O436" i="2"/>
  <c r="N436" i="2"/>
  <c r="M436" i="2"/>
  <c r="L436" i="2"/>
  <c r="O435" i="2"/>
  <c r="N435" i="2"/>
  <c r="M435" i="2"/>
  <c r="L435" i="2"/>
  <c r="O434" i="2"/>
  <c r="N434" i="2"/>
  <c r="M434" i="2"/>
  <c r="L434" i="2"/>
  <c r="O433" i="2"/>
  <c r="N433" i="2"/>
  <c r="M433" i="2"/>
  <c r="L433" i="2"/>
  <c r="O432" i="2"/>
  <c r="N432" i="2"/>
  <c r="M432" i="2"/>
  <c r="L432" i="2"/>
  <c r="O431" i="2"/>
  <c r="N431" i="2"/>
  <c r="M431" i="2"/>
  <c r="L431" i="2"/>
  <c r="O430" i="2"/>
  <c r="N430" i="2"/>
  <c r="M430" i="2"/>
  <c r="L430" i="2"/>
  <c r="O429" i="2"/>
  <c r="N429" i="2"/>
  <c r="M429" i="2"/>
  <c r="L429" i="2"/>
  <c r="O428" i="2"/>
  <c r="N428" i="2"/>
  <c r="M428" i="2"/>
  <c r="L428" i="2"/>
  <c r="O427" i="2"/>
  <c r="N427" i="2"/>
  <c r="M427" i="2"/>
  <c r="L427" i="2"/>
  <c r="O426" i="2"/>
  <c r="N426" i="2"/>
  <c r="M426" i="2"/>
  <c r="L426" i="2"/>
  <c r="O425" i="2"/>
  <c r="N425" i="2"/>
  <c r="M425" i="2"/>
  <c r="L425" i="2"/>
  <c r="O424" i="2"/>
  <c r="N424" i="2"/>
  <c r="M424" i="2"/>
  <c r="L424" i="2"/>
  <c r="O423" i="2"/>
  <c r="N423" i="2"/>
  <c r="M423" i="2"/>
  <c r="L423" i="2"/>
  <c r="O422" i="2"/>
  <c r="N422" i="2"/>
  <c r="M422" i="2"/>
  <c r="L422" i="2"/>
  <c r="O421" i="2"/>
  <c r="N421" i="2"/>
  <c r="M421" i="2"/>
  <c r="L421" i="2"/>
  <c r="O420" i="2"/>
  <c r="N420" i="2"/>
  <c r="M420" i="2"/>
  <c r="L420" i="2"/>
  <c r="O419" i="2"/>
  <c r="N419" i="2"/>
  <c r="M419" i="2"/>
  <c r="L419" i="2"/>
  <c r="O418" i="2"/>
  <c r="N418" i="2"/>
  <c r="M418" i="2"/>
  <c r="L418" i="2"/>
  <c r="O417" i="2"/>
  <c r="N417" i="2"/>
  <c r="M417" i="2"/>
  <c r="L417" i="2"/>
  <c r="O416" i="2"/>
  <c r="N416" i="2"/>
  <c r="M416" i="2"/>
  <c r="L416" i="2"/>
  <c r="O415" i="2"/>
  <c r="N415" i="2"/>
  <c r="M415" i="2"/>
  <c r="L415" i="2"/>
  <c r="O414" i="2"/>
  <c r="N414" i="2"/>
  <c r="M414" i="2"/>
  <c r="L414" i="2"/>
  <c r="O413" i="2"/>
  <c r="N413" i="2"/>
  <c r="M413" i="2"/>
  <c r="L413" i="2"/>
  <c r="O412" i="2"/>
  <c r="N412" i="2"/>
  <c r="M412" i="2"/>
  <c r="L412" i="2"/>
  <c r="O411" i="2"/>
  <c r="N411" i="2"/>
  <c r="M411" i="2"/>
  <c r="L411" i="2"/>
  <c r="O410" i="2"/>
  <c r="N410" i="2"/>
  <c r="M410" i="2"/>
  <c r="L410" i="2"/>
  <c r="O409" i="2"/>
  <c r="N409" i="2"/>
  <c r="M409" i="2"/>
  <c r="L409" i="2"/>
  <c r="O408" i="2"/>
  <c r="N408" i="2"/>
  <c r="M408" i="2"/>
  <c r="L408" i="2"/>
  <c r="O407" i="2"/>
  <c r="N407" i="2"/>
  <c r="M407" i="2"/>
  <c r="L407" i="2"/>
  <c r="O406" i="2"/>
  <c r="N406" i="2"/>
  <c r="M406" i="2"/>
  <c r="L406" i="2"/>
  <c r="O405" i="2"/>
  <c r="N405" i="2"/>
  <c r="M405" i="2"/>
  <c r="L405" i="2"/>
  <c r="O404" i="2"/>
  <c r="N404" i="2"/>
  <c r="M404" i="2"/>
  <c r="L404" i="2"/>
  <c r="O403" i="2"/>
  <c r="N403" i="2"/>
  <c r="M403" i="2"/>
  <c r="L403" i="2"/>
  <c r="O402" i="2"/>
  <c r="N402" i="2"/>
  <c r="M402" i="2"/>
  <c r="L402" i="2"/>
  <c r="O401" i="2"/>
  <c r="N401" i="2"/>
  <c r="M401" i="2"/>
  <c r="L401" i="2"/>
  <c r="O400" i="2"/>
  <c r="N400" i="2"/>
  <c r="M400" i="2"/>
  <c r="L400" i="2"/>
  <c r="O399" i="2"/>
  <c r="N399" i="2"/>
  <c r="M399" i="2"/>
  <c r="L399" i="2"/>
  <c r="O398" i="2"/>
  <c r="N398" i="2"/>
  <c r="M398" i="2"/>
  <c r="L398" i="2"/>
  <c r="O397" i="2"/>
  <c r="N397" i="2"/>
  <c r="M397" i="2"/>
  <c r="L397" i="2"/>
  <c r="O396" i="2"/>
  <c r="N396" i="2"/>
  <c r="M396" i="2"/>
  <c r="L396" i="2"/>
  <c r="O395" i="2"/>
  <c r="N395" i="2"/>
  <c r="M395" i="2"/>
  <c r="L395" i="2"/>
  <c r="O394" i="2"/>
  <c r="N394" i="2"/>
  <c r="M394" i="2"/>
  <c r="L394" i="2"/>
  <c r="O393" i="2"/>
  <c r="N393" i="2"/>
  <c r="M393" i="2"/>
  <c r="L393" i="2"/>
  <c r="O392" i="2"/>
  <c r="N392" i="2"/>
  <c r="M392" i="2"/>
  <c r="L392" i="2"/>
  <c r="O391" i="2"/>
  <c r="N391" i="2"/>
  <c r="M391" i="2"/>
  <c r="L391" i="2"/>
  <c r="O390" i="2"/>
  <c r="N390" i="2"/>
  <c r="M390" i="2"/>
  <c r="L390" i="2"/>
  <c r="O389" i="2"/>
  <c r="N389" i="2"/>
  <c r="M389" i="2"/>
  <c r="L389" i="2"/>
  <c r="O388" i="2"/>
  <c r="N388" i="2"/>
  <c r="M388" i="2"/>
  <c r="L388" i="2"/>
  <c r="O387" i="2"/>
  <c r="N387" i="2"/>
  <c r="M387" i="2"/>
  <c r="L387" i="2"/>
  <c r="O386" i="2"/>
  <c r="N386" i="2"/>
  <c r="M386" i="2"/>
  <c r="L386" i="2"/>
  <c r="O385" i="2"/>
  <c r="N385" i="2"/>
  <c r="M385" i="2"/>
  <c r="L385" i="2"/>
  <c r="O384" i="2"/>
  <c r="N384" i="2"/>
  <c r="M384" i="2"/>
  <c r="L384" i="2"/>
  <c r="O383" i="2"/>
  <c r="N383" i="2"/>
  <c r="M383" i="2"/>
  <c r="L383" i="2"/>
  <c r="O382" i="2"/>
  <c r="N382" i="2"/>
  <c r="M382" i="2"/>
  <c r="L382" i="2"/>
  <c r="O381" i="2"/>
  <c r="N381" i="2"/>
  <c r="M381" i="2"/>
  <c r="L381" i="2"/>
  <c r="O380" i="2"/>
  <c r="N380" i="2"/>
  <c r="M380" i="2"/>
  <c r="L380" i="2"/>
  <c r="O112" i="2"/>
  <c r="N112" i="2"/>
  <c r="M112" i="2"/>
  <c r="L112" i="2"/>
  <c r="O104" i="2"/>
  <c r="N104" i="2"/>
  <c r="M104" i="2"/>
  <c r="L104" i="2"/>
  <c r="O88" i="2"/>
  <c r="N88" i="2"/>
  <c r="M88" i="2"/>
  <c r="L88" i="2"/>
  <c r="O292" i="2"/>
  <c r="N292" i="2"/>
  <c r="M292" i="2"/>
  <c r="L292" i="2"/>
  <c r="O290" i="2"/>
  <c r="N290" i="2"/>
  <c r="M290" i="2"/>
  <c r="L290" i="2"/>
  <c r="O108" i="2"/>
  <c r="N108" i="2"/>
  <c r="M108" i="2"/>
  <c r="L108" i="2"/>
  <c r="O5" i="2"/>
  <c r="N5" i="2"/>
  <c r="M5" i="2"/>
  <c r="L5" i="2"/>
  <c r="O90" i="2"/>
  <c r="N90" i="2"/>
  <c r="M90" i="2"/>
  <c r="L90" i="2"/>
  <c r="O41" i="2"/>
  <c r="N41" i="2"/>
  <c r="M41" i="2"/>
  <c r="L41" i="2"/>
  <c r="O122" i="2"/>
  <c r="N122" i="2"/>
  <c r="M122" i="2"/>
  <c r="L122" i="2"/>
  <c r="O232" i="2"/>
  <c r="N232" i="2"/>
  <c r="M232" i="2"/>
  <c r="L232" i="2"/>
  <c r="O83" i="2"/>
  <c r="N83" i="2"/>
  <c r="M83" i="2"/>
  <c r="L83" i="2"/>
  <c r="O371" i="2"/>
  <c r="N371" i="2"/>
  <c r="M371" i="2"/>
  <c r="L371" i="2"/>
  <c r="O379" i="2"/>
  <c r="N379" i="2"/>
  <c r="M379" i="2"/>
  <c r="L379" i="2"/>
  <c r="O373" i="2"/>
  <c r="N373" i="2"/>
  <c r="M373" i="2"/>
  <c r="L373" i="2"/>
  <c r="O369" i="2"/>
  <c r="N369" i="2"/>
  <c r="M369" i="2"/>
  <c r="L369" i="2"/>
  <c r="O363" i="2"/>
  <c r="N363" i="2"/>
  <c r="M363" i="2"/>
  <c r="L363" i="2"/>
  <c r="O362" i="2"/>
  <c r="N362" i="2"/>
  <c r="M362" i="2"/>
  <c r="L362" i="2"/>
  <c r="O100" i="2"/>
  <c r="N100" i="2"/>
  <c r="M100" i="2"/>
  <c r="L100" i="2"/>
  <c r="O284" i="2"/>
  <c r="N284" i="2"/>
  <c r="M284" i="2"/>
  <c r="L284" i="2"/>
  <c r="O302" i="2"/>
  <c r="N302" i="2"/>
  <c r="M302" i="2"/>
  <c r="L302" i="2"/>
  <c r="O120" i="2"/>
  <c r="N120" i="2"/>
  <c r="M120" i="2"/>
  <c r="L120" i="2"/>
  <c r="O326" i="2"/>
  <c r="N326" i="2"/>
  <c r="M326" i="2"/>
  <c r="L326" i="2"/>
  <c r="O102" i="2"/>
  <c r="N102" i="2"/>
  <c r="M102" i="2"/>
  <c r="L102" i="2"/>
  <c r="O96" i="2"/>
  <c r="N96" i="2"/>
  <c r="M96" i="2"/>
  <c r="L96" i="2"/>
  <c r="O377" i="2"/>
  <c r="N377" i="2"/>
  <c r="M377" i="2"/>
  <c r="L377" i="2"/>
  <c r="O375" i="2"/>
  <c r="N375" i="2"/>
  <c r="M375" i="2"/>
  <c r="L375" i="2"/>
  <c r="O352" i="2"/>
  <c r="N352" i="2"/>
  <c r="M352" i="2"/>
  <c r="L352" i="2"/>
  <c r="O110" i="2"/>
  <c r="N110" i="2"/>
  <c r="M110" i="2"/>
  <c r="L110" i="2"/>
  <c r="O247" i="2"/>
  <c r="N247" i="2"/>
  <c r="M247" i="2"/>
  <c r="L247" i="2"/>
  <c r="O349" i="2"/>
  <c r="N349" i="2"/>
  <c r="M349" i="2"/>
  <c r="L349" i="2"/>
  <c r="O160" i="2"/>
  <c r="N160" i="2"/>
  <c r="M160" i="2"/>
  <c r="L160" i="2"/>
  <c r="O331" i="2"/>
  <c r="N331" i="2"/>
  <c r="M331" i="2"/>
  <c r="L331" i="2"/>
  <c r="O330" i="2"/>
  <c r="N330" i="2"/>
  <c r="M330" i="2"/>
  <c r="L330" i="2"/>
  <c r="O98" i="2"/>
  <c r="N98" i="2"/>
  <c r="M98" i="2"/>
  <c r="L98" i="2"/>
  <c r="O94" i="2"/>
  <c r="N94" i="2"/>
  <c r="M94" i="2"/>
  <c r="L94" i="2"/>
  <c r="O92" i="2"/>
  <c r="N92" i="2"/>
  <c r="M92" i="2"/>
  <c r="L92" i="2"/>
  <c r="O291" i="2"/>
  <c r="N291" i="2"/>
  <c r="M291" i="2"/>
  <c r="L291" i="2"/>
  <c r="O285" i="2"/>
  <c r="N285" i="2"/>
  <c r="M285" i="2"/>
  <c r="L285" i="2"/>
  <c r="O340" i="2"/>
  <c r="N340" i="2"/>
  <c r="M340" i="2"/>
  <c r="L340" i="2"/>
  <c r="O339" i="2"/>
  <c r="N339" i="2"/>
  <c r="M339" i="2"/>
  <c r="L339" i="2"/>
  <c r="O107" i="2"/>
  <c r="N107" i="2"/>
  <c r="M107" i="2"/>
  <c r="L107" i="2"/>
  <c r="O4" i="2"/>
  <c r="N4" i="2"/>
  <c r="M4" i="2"/>
  <c r="L4" i="2"/>
  <c r="O89" i="2"/>
  <c r="N89" i="2"/>
  <c r="M89" i="2"/>
  <c r="L89" i="2"/>
  <c r="O39" i="2"/>
  <c r="N39" i="2"/>
  <c r="M39" i="2"/>
  <c r="L39" i="2"/>
  <c r="O121" i="2"/>
  <c r="N121" i="2"/>
  <c r="M121" i="2"/>
  <c r="L121" i="2"/>
  <c r="O230" i="2"/>
  <c r="N230" i="2"/>
  <c r="M230" i="2"/>
  <c r="L230" i="2"/>
  <c r="O81" i="2"/>
  <c r="N81" i="2"/>
  <c r="M81" i="2"/>
  <c r="L81" i="2"/>
  <c r="O370" i="2"/>
  <c r="N370" i="2"/>
  <c r="M370" i="2"/>
  <c r="L370" i="2"/>
  <c r="O378" i="2"/>
  <c r="N378" i="2"/>
  <c r="M378" i="2"/>
  <c r="L378" i="2"/>
  <c r="O329" i="2"/>
  <c r="N329" i="2"/>
  <c r="M329" i="2"/>
  <c r="L329" i="2"/>
  <c r="O328" i="2"/>
  <c r="N328" i="2"/>
  <c r="M328" i="2"/>
  <c r="L328" i="2"/>
  <c r="O372" i="2"/>
  <c r="N372" i="2"/>
  <c r="M372" i="2"/>
  <c r="L372" i="2"/>
  <c r="O368" i="2"/>
  <c r="N368" i="2"/>
  <c r="M368" i="2"/>
  <c r="L368" i="2"/>
  <c r="O325" i="2"/>
  <c r="N325" i="2"/>
  <c r="M325" i="2"/>
  <c r="L325" i="2"/>
  <c r="O324" i="2"/>
  <c r="N324" i="2"/>
  <c r="M324" i="2"/>
  <c r="L324" i="2"/>
  <c r="O323" i="2"/>
  <c r="N323" i="2"/>
  <c r="M323" i="2"/>
  <c r="L323" i="2"/>
  <c r="O322" i="2"/>
  <c r="N322" i="2"/>
  <c r="M322" i="2"/>
  <c r="L322" i="2"/>
  <c r="O99" i="2"/>
  <c r="N99" i="2"/>
  <c r="M99" i="2"/>
  <c r="L99" i="2"/>
  <c r="O320" i="2"/>
  <c r="N320" i="2"/>
  <c r="M320" i="2"/>
  <c r="L320" i="2"/>
  <c r="O283" i="2"/>
  <c r="N283" i="2"/>
  <c r="M283" i="2"/>
  <c r="L283" i="2"/>
  <c r="O293" i="2"/>
  <c r="N293" i="2"/>
  <c r="M293" i="2"/>
  <c r="L293" i="2"/>
  <c r="O317" i="2"/>
  <c r="N317" i="2"/>
  <c r="M317" i="2"/>
  <c r="L317" i="2"/>
  <c r="O316" i="2"/>
  <c r="N316" i="2"/>
  <c r="M316" i="2"/>
  <c r="L316" i="2"/>
  <c r="O119" i="2"/>
  <c r="N119" i="2"/>
  <c r="M119" i="2"/>
  <c r="L119" i="2"/>
  <c r="O321" i="2"/>
  <c r="N321" i="2"/>
  <c r="M321" i="2"/>
  <c r="L321" i="2"/>
  <c r="O101" i="2"/>
  <c r="N101" i="2"/>
  <c r="M101" i="2"/>
  <c r="L101" i="2"/>
  <c r="O95" i="2"/>
  <c r="N95" i="2"/>
  <c r="M95" i="2"/>
  <c r="L95" i="2"/>
  <c r="O376" i="2"/>
  <c r="N376" i="2"/>
  <c r="M376" i="2"/>
  <c r="L376" i="2"/>
  <c r="O374" i="2"/>
  <c r="N374" i="2"/>
  <c r="M374" i="2"/>
  <c r="L374" i="2"/>
  <c r="O309" i="2"/>
  <c r="N309" i="2"/>
  <c r="M309" i="2"/>
  <c r="L309" i="2"/>
  <c r="O308" i="2"/>
  <c r="N308" i="2"/>
  <c r="M308" i="2"/>
  <c r="L308" i="2"/>
  <c r="O307" i="2"/>
  <c r="N307" i="2"/>
  <c r="M307" i="2"/>
  <c r="L307" i="2"/>
  <c r="O109" i="2"/>
  <c r="N109" i="2"/>
  <c r="M109" i="2"/>
  <c r="L109" i="2"/>
  <c r="O245" i="2"/>
  <c r="N245" i="2"/>
  <c r="M245" i="2"/>
  <c r="L245" i="2"/>
  <c r="O304" i="2"/>
  <c r="N304" i="2"/>
  <c r="M304" i="2"/>
  <c r="L304" i="2"/>
  <c r="O303" i="2"/>
  <c r="N303" i="2"/>
  <c r="M303" i="2"/>
  <c r="L303" i="2"/>
  <c r="O158" i="2"/>
  <c r="N158" i="2"/>
  <c r="M158" i="2"/>
  <c r="L158" i="2"/>
  <c r="O301" i="2"/>
  <c r="N301" i="2"/>
  <c r="M301" i="2"/>
  <c r="L301" i="2"/>
  <c r="O300" i="2"/>
  <c r="N300" i="2"/>
  <c r="M300" i="2"/>
  <c r="L300" i="2"/>
  <c r="O299" i="2"/>
  <c r="N299" i="2"/>
  <c r="M299" i="2"/>
  <c r="L299" i="2"/>
  <c r="O298" i="2"/>
  <c r="N298" i="2"/>
  <c r="M298" i="2"/>
  <c r="L298" i="2"/>
  <c r="O297" i="2"/>
  <c r="N297" i="2"/>
  <c r="M297" i="2"/>
  <c r="L297" i="2"/>
  <c r="O296" i="2"/>
  <c r="N296" i="2"/>
  <c r="M296" i="2"/>
  <c r="L296" i="2"/>
  <c r="O295" i="2"/>
  <c r="N295" i="2"/>
  <c r="M295" i="2"/>
  <c r="L295" i="2"/>
  <c r="O294" i="2"/>
  <c r="N294" i="2"/>
  <c r="M294" i="2"/>
  <c r="L294" i="2"/>
  <c r="O327" i="2"/>
  <c r="N327" i="2"/>
  <c r="M327" i="2"/>
  <c r="L327" i="2"/>
  <c r="O97" i="2"/>
  <c r="N97" i="2"/>
  <c r="M97" i="2"/>
  <c r="L97" i="2"/>
  <c r="O93" i="2"/>
  <c r="N93" i="2"/>
  <c r="M93" i="2"/>
  <c r="L93" i="2"/>
  <c r="O91" i="2"/>
  <c r="N91" i="2"/>
  <c r="M91" i="2"/>
  <c r="L91" i="2"/>
  <c r="O289" i="2"/>
  <c r="N289" i="2"/>
  <c r="M289" i="2"/>
  <c r="L289" i="2"/>
  <c r="O288" i="2"/>
  <c r="N288" i="2"/>
  <c r="M288" i="2"/>
  <c r="L288" i="2"/>
  <c r="O287" i="2"/>
  <c r="N287" i="2"/>
  <c r="M287" i="2"/>
  <c r="L287" i="2"/>
  <c r="O286" i="2"/>
  <c r="N286" i="2"/>
  <c r="M286" i="2"/>
  <c r="L286" i="2"/>
  <c r="O111" i="2"/>
  <c r="N111" i="2"/>
  <c r="M111" i="2"/>
  <c r="L111" i="2"/>
  <c r="O103" i="2"/>
  <c r="N103" i="2"/>
  <c r="M103" i="2"/>
  <c r="L103" i="2"/>
  <c r="O87" i="2"/>
  <c r="N87" i="2"/>
  <c r="M87" i="2"/>
  <c r="L87" i="2"/>
  <c r="O282" i="2"/>
  <c r="N282" i="2"/>
  <c r="M282" i="2"/>
  <c r="L282" i="2"/>
  <c r="O281" i="2"/>
  <c r="N281" i="2"/>
  <c r="M281" i="2"/>
  <c r="L281" i="2"/>
  <c r="O280" i="2"/>
  <c r="N280" i="2"/>
  <c r="M280" i="2"/>
  <c r="L280" i="2"/>
  <c r="O279" i="2"/>
  <c r="N279" i="2"/>
  <c r="M279" i="2"/>
  <c r="L279" i="2"/>
  <c r="O278" i="2"/>
  <c r="N278" i="2"/>
  <c r="M278" i="2"/>
  <c r="L278" i="2"/>
  <c r="O277" i="2"/>
  <c r="N277" i="2"/>
  <c r="M277" i="2"/>
  <c r="L277" i="2"/>
  <c r="O276" i="2"/>
  <c r="N276" i="2"/>
  <c r="M276" i="2"/>
  <c r="L276" i="2"/>
  <c r="O275" i="2"/>
  <c r="N275" i="2"/>
  <c r="M275" i="2"/>
  <c r="L275" i="2"/>
  <c r="O274" i="2"/>
  <c r="N274" i="2"/>
  <c r="M274" i="2"/>
  <c r="L274" i="2"/>
  <c r="O273" i="2"/>
  <c r="N273" i="2"/>
  <c r="M273" i="2"/>
  <c r="L273" i="2"/>
  <c r="O272" i="2"/>
  <c r="N272" i="2"/>
  <c r="M272" i="2"/>
  <c r="L272" i="2"/>
  <c r="O271" i="2"/>
  <c r="N271" i="2"/>
  <c r="M271" i="2"/>
  <c r="L271" i="2"/>
  <c r="O270" i="2"/>
  <c r="N270" i="2"/>
  <c r="M270" i="2"/>
  <c r="L270" i="2"/>
  <c r="O269" i="2"/>
  <c r="N269" i="2"/>
  <c r="M269" i="2"/>
  <c r="L269" i="2"/>
  <c r="O268" i="2"/>
  <c r="N268" i="2"/>
  <c r="M268" i="2"/>
  <c r="L268" i="2"/>
  <c r="O267" i="2"/>
  <c r="N267" i="2"/>
  <c r="M267" i="2"/>
  <c r="L267" i="2"/>
  <c r="O266" i="2"/>
  <c r="N266" i="2"/>
  <c r="M266" i="2"/>
  <c r="L266" i="2"/>
  <c r="O265" i="2"/>
  <c r="N265" i="2"/>
  <c r="M265" i="2"/>
  <c r="L265" i="2"/>
  <c r="O264" i="2"/>
  <c r="N264" i="2"/>
  <c r="M264" i="2"/>
  <c r="L264" i="2"/>
  <c r="O263" i="2"/>
  <c r="N263" i="2"/>
  <c r="M263" i="2"/>
  <c r="L263" i="2"/>
  <c r="O262" i="2"/>
  <c r="N262" i="2"/>
  <c r="M262" i="2"/>
  <c r="L262" i="2"/>
  <c r="O261" i="2"/>
  <c r="N261" i="2"/>
  <c r="M261" i="2"/>
  <c r="L261" i="2"/>
  <c r="O260" i="2"/>
  <c r="N260" i="2"/>
  <c r="M260" i="2"/>
  <c r="L260" i="2"/>
  <c r="O259" i="2"/>
  <c r="N259" i="2"/>
  <c r="M259" i="2"/>
  <c r="L259" i="2"/>
  <c r="O258" i="2"/>
  <c r="N258" i="2"/>
  <c r="M258" i="2"/>
  <c r="L258" i="2"/>
  <c r="O257" i="2"/>
  <c r="N257" i="2"/>
  <c r="M257" i="2"/>
  <c r="L257" i="2"/>
  <c r="O256" i="2"/>
  <c r="N256" i="2"/>
  <c r="M256" i="2"/>
  <c r="L256" i="2"/>
  <c r="O255" i="2"/>
  <c r="N255" i="2"/>
  <c r="M255" i="2"/>
  <c r="L255" i="2"/>
  <c r="O254" i="2"/>
  <c r="N254" i="2"/>
  <c r="M254" i="2"/>
  <c r="L254" i="2"/>
  <c r="O253" i="2"/>
  <c r="N253" i="2"/>
  <c r="M253" i="2"/>
  <c r="L253" i="2"/>
  <c r="O252" i="2"/>
  <c r="N252" i="2"/>
  <c r="M252" i="2"/>
  <c r="L252" i="2"/>
  <c r="O251" i="2"/>
  <c r="N251" i="2"/>
  <c r="M251" i="2"/>
  <c r="L251" i="2"/>
  <c r="O250" i="2"/>
  <c r="N250" i="2"/>
  <c r="M250" i="2"/>
  <c r="L250" i="2"/>
  <c r="O249" i="2"/>
  <c r="N249" i="2"/>
  <c r="M249" i="2"/>
  <c r="L249" i="2"/>
  <c r="O248" i="2"/>
  <c r="N248" i="2"/>
  <c r="M248" i="2"/>
  <c r="L248" i="2"/>
  <c r="O36" i="2"/>
  <c r="N36" i="2"/>
  <c r="M36" i="2"/>
  <c r="L36" i="2"/>
  <c r="O246" i="2"/>
  <c r="N246" i="2"/>
  <c r="M246" i="2"/>
  <c r="L246" i="2"/>
  <c r="O34" i="2"/>
  <c r="N34" i="2"/>
  <c r="M34" i="2"/>
  <c r="L34" i="2"/>
  <c r="O244" i="2"/>
  <c r="N244" i="2"/>
  <c r="M244" i="2"/>
  <c r="L244" i="2"/>
  <c r="O243" i="2"/>
  <c r="N243" i="2"/>
  <c r="M243" i="2"/>
  <c r="L243" i="2"/>
  <c r="O242" i="2"/>
  <c r="N242" i="2"/>
  <c r="M242" i="2"/>
  <c r="L242" i="2"/>
  <c r="O241" i="2"/>
  <c r="N241" i="2"/>
  <c r="M241" i="2"/>
  <c r="L241" i="2"/>
  <c r="O240" i="2"/>
  <c r="N240" i="2"/>
  <c r="M240" i="2"/>
  <c r="L240" i="2"/>
  <c r="O239" i="2"/>
  <c r="N239" i="2"/>
  <c r="M239" i="2"/>
  <c r="L239" i="2"/>
  <c r="O238" i="2"/>
  <c r="N238" i="2"/>
  <c r="M238" i="2"/>
  <c r="L238" i="2"/>
  <c r="O237" i="2"/>
  <c r="N237" i="2"/>
  <c r="M237" i="2"/>
  <c r="L237" i="2"/>
  <c r="O236" i="2"/>
  <c r="N236" i="2"/>
  <c r="M236" i="2"/>
  <c r="L236" i="2"/>
  <c r="O235" i="2"/>
  <c r="N235" i="2"/>
  <c r="M235" i="2"/>
  <c r="L235" i="2"/>
  <c r="O234" i="2"/>
  <c r="N234" i="2"/>
  <c r="M234" i="2"/>
  <c r="L234" i="2"/>
  <c r="O233" i="2"/>
  <c r="N233" i="2"/>
  <c r="M233" i="2"/>
  <c r="L233" i="2"/>
  <c r="O3" i="2"/>
  <c r="N3" i="2"/>
  <c r="M3" i="2"/>
  <c r="L3" i="2"/>
  <c r="O231" i="2"/>
  <c r="N231" i="2"/>
  <c r="M231" i="2"/>
  <c r="L231" i="2"/>
  <c r="O2" i="2"/>
  <c r="N2" i="2"/>
  <c r="M2" i="2"/>
  <c r="L2" i="2"/>
  <c r="O229" i="2"/>
  <c r="N229" i="2"/>
  <c r="M229" i="2"/>
  <c r="L229" i="2"/>
  <c r="O228" i="2"/>
  <c r="N228" i="2"/>
  <c r="M228" i="2"/>
  <c r="L228" i="2"/>
  <c r="O227" i="2"/>
  <c r="N227" i="2"/>
  <c r="M227" i="2"/>
  <c r="L227" i="2"/>
  <c r="O226" i="2"/>
  <c r="N226" i="2"/>
  <c r="M226" i="2"/>
  <c r="L226" i="2"/>
  <c r="O225" i="2"/>
  <c r="N225" i="2"/>
  <c r="M225" i="2"/>
  <c r="L225" i="2"/>
  <c r="O224" i="2"/>
  <c r="N224" i="2"/>
  <c r="M224" i="2"/>
  <c r="L224" i="2"/>
  <c r="O223" i="2"/>
  <c r="N223" i="2"/>
  <c r="M223" i="2"/>
  <c r="L223" i="2"/>
  <c r="O222" i="2"/>
  <c r="N222" i="2"/>
  <c r="M222" i="2"/>
  <c r="L222" i="2"/>
  <c r="O221" i="2"/>
  <c r="N221" i="2"/>
  <c r="M221" i="2"/>
  <c r="L221" i="2"/>
  <c r="O220" i="2"/>
  <c r="N220" i="2"/>
  <c r="M220" i="2"/>
  <c r="L220" i="2"/>
  <c r="O219" i="2"/>
  <c r="N219" i="2"/>
  <c r="M219" i="2"/>
  <c r="L219" i="2"/>
  <c r="O218" i="2"/>
  <c r="N218" i="2"/>
  <c r="M218" i="2"/>
  <c r="L218" i="2"/>
  <c r="O217" i="2"/>
  <c r="N217" i="2"/>
  <c r="M217" i="2"/>
  <c r="L217" i="2"/>
  <c r="O216" i="2"/>
  <c r="N216" i="2"/>
  <c r="M216" i="2"/>
  <c r="L216" i="2"/>
  <c r="O215" i="2"/>
  <c r="N215" i="2"/>
  <c r="M215" i="2"/>
  <c r="L215" i="2"/>
  <c r="O214" i="2"/>
  <c r="N214" i="2"/>
  <c r="M214" i="2"/>
  <c r="L214" i="2"/>
  <c r="O213" i="2"/>
  <c r="N213" i="2"/>
  <c r="M213" i="2"/>
  <c r="L213" i="2"/>
  <c r="O212" i="2"/>
  <c r="N212" i="2"/>
  <c r="M212" i="2"/>
  <c r="L212" i="2"/>
  <c r="O211" i="2"/>
  <c r="N211" i="2"/>
  <c r="M211" i="2"/>
  <c r="L211" i="2"/>
  <c r="O210" i="2"/>
  <c r="N210" i="2"/>
  <c r="M210" i="2"/>
  <c r="L210" i="2"/>
  <c r="O209" i="2"/>
  <c r="N209" i="2"/>
  <c r="M209" i="2"/>
  <c r="L209" i="2"/>
  <c r="O208" i="2"/>
  <c r="N208" i="2"/>
  <c r="M208" i="2"/>
  <c r="L208" i="2"/>
  <c r="O207" i="2"/>
  <c r="N207" i="2"/>
  <c r="M207" i="2"/>
  <c r="L207" i="2"/>
  <c r="O206" i="2"/>
  <c r="N206" i="2"/>
  <c r="M206" i="2"/>
  <c r="L206" i="2"/>
  <c r="O205" i="2"/>
  <c r="N205" i="2"/>
  <c r="M205" i="2"/>
  <c r="L205" i="2"/>
  <c r="O204" i="2"/>
  <c r="N204" i="2"/>
  <c r="M204" i="2"/>
  <c r="L204" i="2"/>
  <c r="O203" i="2"/>
  <c r="N203" i="2"/>
  <c r="M203" i="2"/>
  <c r="L203" i="2"/>
  <c r="O202" i="2"/>
  <c r="N202" i="2"/>
  <c r="M202" i="2"/>
  <c r="L202" i="2"/>
  <c r="O201" i="2"/>
  <c r="N201" i="2"/>
  <c r="M201" i="2"/>
  <c r="L201" i="2"/>
  <c r="O200" i="2"/>
  <c r="N200" i="2"/>
  <c r="M200" i="2"/>
  <c r="L200" i="2"/>
  <c r="O199" i="2"/>
  <c r="N199" i="2"/>
  <c r="M199" i="2"/>
  <c r="L199" i="2"/>
  <c r="O198" i="2"/>
  <c r="N198" i="2"/>
  <c r="M198" i="2"/>
  <c r="L198" i="2"/>
  <c r="O197" i="2"/>
  <c r="N197" i="2"/>
  <c r="M197" i="2"/>
  <c r="L197" i="2"/>
  <c r="O196" i="2"/>
  <c r="N196" i="2"/>
  <c r="M196" i="2"/>
  <c r="L196" i="2"/>
  <c r="O195" i="2"/>
  <c r="N195" i="2"/>
  <c r="M195" i="2"/>
  <c r="L195" i="2"/>
  <c r="O194" i="2"/>
  <c r="N194" i="2"/>
  <c r="M194" i="2"/>
  <c r="L194" i="2"/>
  <c r="O193" i="2"/>
  <c r="N193" i="2"/>
  <c r="M193" i="2"/>
  <c r="L193" i="2"/>
  <c r="O192" i="2"/>
  <c r="N192" i="2"/>
  <c r="M192" i="2"/>
  <c r="L192" i="2"/>
  <c r="O191" i="2"/>
  <c r="N191" i="2"/>
  <c r="M191" i="2"/>
  <c r="L191" i="2"/>
  <c r="O190" i="2"/>
  <c r="N190" i="2"/>
  <c r="M190" i="2"/>
  <c r="L190" i="2"/>
  <c r="O189" i="2"/>
  <c r="N189" i="2"/>
  <c r="M189" i="2"/>
  <c r="L189" i="2"/>
  <c r="O188" i="2"/>
  <c r="N188" i="2"/>
  <c r="M188" i="2"/>
  <c r="L188" i="2"/>
  <c r="O187" i="2"/>
  <c r="N187" i="2"/>
  <c r="M187" i="2"/>
  <c r="L187" i="2"/>
  <c r="O186" i="2"/>
  <c r="N186" i="2"/>
  <c r="M186" i="2"/>
  <c r="L186" i="2"/>
  <c r="O185" i="2"/>
  <c r="N185" i="2"/>
  <c r="M185" i="2"/>
  <c r="L185" i="2"/>
  <c r="O184" i="2"/>
  <c r="N184" i="2"/>
  <c r="M184" i="2"/>
  <c r="L184" i="2"/>
  <c r="O183" i="2"/>
  <c r="N183" i="2"/>
  <c r="M183" i="2"/>
  <c r="L183" i="2"/>
  <c r="O182" i="2"/>
  <c r="N182" i="2"/>
  <c r="M182" i="2"/>
  <c r="L182" i="2"/>
  <c r="O181" i="2"/>
  <c r="N181" i="2"/>
  <c r="M181" i="2"/>
  <c r="L181" i="2"/>
  <c r="O180" i="2"/>
  <c r="N180" i="2"/>
  <c r="M180" i="2"/>
  <c r="L180" i="2"/>
  <c r="O179" i="2"/>
  <c r="N179" i="2"/>
  <c r="M179" i="2"/>
  <c r="L179" i="2"/>
  <c r="O178" i="2"/>
  <c r="N178" i="2"/>
  <c r="M178" i="2"/>
  <c r="L178" i="2"/>
  <c r="O177" i="2"/>
  <c r="N177" i="2"/>
  <c r="M177" i="2"/>
  <c r="L177" i="2"/>
  <c r="O176" i="2"/>
  <c r="N176" i="2"/>
  <c r="M176" i="2"/>
  <c r="L176" i="2"/>
  <c r="O175" i="2"/>
  <c r="N175" i="2"/>
  <c r="M175" i="2"/>
  <c r="L175" i="2"/>
  <c r="O174" i="2"/>
  <c r="N174" i="2"/>
  <c r="M174" i="2"/>
  <c r="L174" i="2"/>
  <c r="O173" i="2"/>
  <c r="N173" i="2"/>
  <c r="M173" i="2"/>
  <c r="L173" i="2"/>
  <c r="O172" i="2"/>
  <c r="N172" i="2"/>
  <c r="M172" i="2"/>
  <c r="L172" i="2"/>
  <c r="O171" i="2"/>
  <c r="N171" i="2"/>
  <c r="M171" i="2"/>
  <c r="L171" i="2"/>
  <c r="O170" i="2"/>
  <c r="N170" i="2"/>
  <c r="M170" i="2"/>
  <c r="L170" i="2"/>
  <c r="O169" i="2"/>
  <c r="N169" i="2"/>
  <c r="M169" i="2"/>
  <c r="L169" i="2"/>
  <c r="O168" i="2"/>
  <c r="N168" i="2"/>
  <c r="M168" i="2"/>
  <c r="L168" i="2"/>
  <c r="O167" i="2"/>
  <c r="N167" i="2"/>
  <c r="M167" i="2"/>
  <c r="L167" i="2"/>
  <c r="O166" i="2"/>
  <c r="N166" i="2"/>
  <c r="M166" i="2"/>
  <c r="L166" i="2"/>
  <c r="O165" i="2"/>
  <c r="N165" i="2"/>
  <c r="M165" i="2"/>
  <c r="L165" i="2"/>
  <c r="O164" i="2"/>
  <c r="N164" i="2"/>
  <c r="M164" i="2"/>
  <c r="L164" i="2"/>
  <c r="O163" i="2"/>
  <c r="N163" i="2"/>
  <c r="M163" i="2"/>
  <c r="L163" i="2"/>
  <c r="O162" i="2"/>
  <c r="N162" i="2"/>
  <c r="M162" i="2"/>
  <c r="L162" i="2"/>
  <c r="O161" i="2"/>
  <c r="N161" i="2"/>
  <c r="M161" i="2"/>
  <c r="L161" i="2"/>
  <c r="O114" i="2"/>
  <c r="N114" i="2"/>
  <c r="M114" i="2"/>
  <c r="L114" i="2"/>
  <c r="O159" i="2"/>
  <c r="N159" i="2"/>
  <c r="M159" i="2"/>
  <c r="L159" i="2"/>
  <c r="O113" i="2"/>
  <c r="N113" i="2"/>
  <c r="M113" i="2"/>
  <c r="L113" i="2"/>
  <c r="O157" i="2"/>
  <c r="N157" i="2"/>
  <c r="M157" i="2"/>
  <c r="L157" i="2"/>
  <c r="O156" i="2"/>
  <c r="N156" i="2"/>
  <c r="M156" i="2"/>
  <c r="L156" i="2"/>
  <c r="O155" i="2"/>
  <c r="N155" i="2"/>
  <c r="M155" i="2"/>
  <c r="L155" i="2"/>
  <c r="O154" i="2"/>
  <c r="N154" i="2"/>
  <c r="M154" i="2"/>
  <c r="L154" i="2"/>
  <c r="O153" i="2"/>
  <c r="N153" i="2"/>
  <c r="M153" i="2"/>
  <c r="L153" i="2"/>
  <c r="O152" i="2"/>
  <c r="N152" i="2"/>
  <c r="M152" i="2"/>
  <c r="L152" i="2"/>
  <c r="O151" i="2"/>
  <c r="N151" i="2"/>
  <c r="M151" i="2"/>
  <c r="L151" i="2"/>
  <c r="O150" i="2"/>
  <c r="N150" i="2"/>
  <c r="M150" i="2"/>
  <c r="L150" i="2"/>
  <c r="O149" i="2"/>
  <c r="N149" i="2"/>
  <c r="M149" i="2"/>
  <c r="L149" i="2"/>
  <c r="O148" i="2"/>
  <c r="N148" i="2"/>
  <c r="M148" i="2"/>
  <c r="L148" i="2"/>
  <c r="O147" i="2"/>
  <c r="N147" i="2"/>
  <c r="M147" i="2"/>
  <c r="L147" i="2"/>
  <c r="O146" i="2"/>
  <c r="N146" i="2"/>
  <c r="M146" i="2"/>
  <c r="L146" i="2"/>
  <c r="O145" i="2"/>
  <c r="N145" i="2"/>
  <c r="M145" i="2"/>
  <c r="L145" i="2"/>
  <c r="O144" i="2"/>
  <c r="N144" i="2"/>
  <c r="M144" i="2"/>
  <c r="L144" i="2"/>
  <c r="O143" i="2"/>
  <c r="N143" i="2"/>
  <c r="M143" i="2"/>
  <c r="L143" i="2"/>
  <c r="O142" i="2"/>
  <c r="N142" i="2"/>
  <c r="M142" i="2"/>
  <c r="L142" i="2"/>
  <c r="O141" i="2"/>
  <c r="N141" i="2"/>
  <c r="M141" i="2"/>
  <c r="L141" i="2"/>
  <c r="O140" i="2"/>
  <c r="N140" i="2"/>
  <c r="M140" i="2"/>
  <c r="L140" i="2"/>
  <c r="O139" i="2"/>
  <c r="N139" i="2"/>
  <c r="M139" i="2"/>
  <c r="L139" i="2"/>
  <c r="O138" i="2"/>
  <c r="N138" i="2"/>
  <c r="M138" i="2"/>
  <c r="L138" i="2"/>
  <c r="O137" i="2"/>
  <c r="N137" i="2"/>
  <c r="M137" i="2"/>
  <c r="L137" i="2"/>
  <c r="O136" i="2"/>
  <c r="N136" i="2"/>
  <c r="M136" i="2"/>
  <c r="L136" i="2"/>
  <c r="O135" i="2"/>
  <c r="N135" i="2"/>
  <c r="M135" i="2"/>
  <c r="L135" i="2"/>
  <c r="O134" i="2"/>
  <c r="N134" i="2"/>
  <c r="M134" i="2"/>
  <c r="L134" i="2"/>
  <c r="O133" i="2"/>
  <c r="N133" i="2"/>
  <c r="M133" i="2"/>
  <c r="L133" i="2"/>
  <c r="O132" i="2"/>
  <c r="N132" i="2"/>
  <c r="M132" i="2"/>
  <c r="L132" i="2"/>
  <c r="O131" i="2"/>
  <c r="N131" i="2"/>
  <c r="M131" i="2"/>
  <c r="L131" i="2"/>
  <c r="O130" i="2"/>
  <c r="N130" i="2"/>
  <c r="M130" i="2"/>
  <c r="L130" i="2"/>
  <c r="O129" i="2"/>
  <c r="N129" i="2"/>
  <c r="M129" i="2"/>
  <c r="L129" i="2"/>
  <c r="O128" i="2"/>
  <c r="N128" i="2"/>
  <c r="M128" i="2"/>
  <c r="L128" i="2"/>
  <c r="O127" i="2"/>
  <c r="N127" i="2"/>
  <c r="M127" i="2"/>
  <c r="L127" i="2"/>
  <c r="O126" i="2"/>
  <c r="N126" i="2"/>
  <c r="M126" i="2"/>
  <c r="L126" i="2"/>
  <c r="O125" i="2"/>
  <c r="N125" i="2"/>
  <c r="M125" i="2"/>
  <c r="L125" i="2"/>
  <c r="O124" i="2"/>
  <c r="N124" i="2"/>
  <c r="M124" i="2"/>
  <c r="L124" i="2"/>
  <c r="O123" i="2"/>
  <c r="N123" i="2"/>
  <c r="M123" i="2"/>
  <c r="L123" i="2"/>
  <c r="O359" i="2"/>
  <c r="N359" i="2"/>
  <c r="M359" i="2"/>
  <c r="L359" i="2"/>
  <c r="O350" i="2"/>
  <c r="N350" i="2"/>
  <c r="M350" i="2"/>
  <c r="L350" i="2"/>
  <c r="O319" i="2"/>
  <c r="N319" i="2"/>
  <c r="M319" i="2"/>
  <c r="L319" i="2"/>
  <c r="O333" i="2"/>
  <c r="N333" i="2"/>
  <c r="M333" i="2"/>
  <c r="L333" i="2"/>
  <c r="O311" i="2"/>
  <c r="N311" i="2"/>
  <c r="M311" i="2"/>
  <c r="L311" i="2"/>
  <c r="O361" i="2"/>
  <c r="N361" i="2"/>
  <c r="M361" i="2"/>
  <c r="L361" i="2"/>
  <c r="O341" i="2"/>
  <c r="N341" i="2"/>
  <c r="M341" i="2"/>
  <c r="L341" i="2"/>
  <c r="O347" i="2"/>
  <c r="N347" i="2"/>
  <c r="M347" i="2"/>
  <c r="L347" i="2"/>
  <c r="O355" i="2"/>
  <c r="N355" i="2"/>
  <c r="M355" i="2"/>
  <c r="L355" i="2"/>
  <c r="O367" i="2"/>
  <c r="N367" i="2"/>
  <c r="M367" i="2"/>
  <c r="L367" i="2"/>
  <c r="O365" i="2"/>
  <c r="N365" i="2"/>
  <c r="M365" i="2"/>
  <c r="L365" i="2"/>
  <c r="O345" i="2"/>
  <c r="N345" i="2"/>
  <c r="M345" i="2"/>
  <c r="L345" i="2"/>
  <c r="O343" i="2"/>
  <c r="N343" i="2"/>
  <c r="M343" i="2"/>
  <c r="L343" i="2"/>
  <c r="O337" i="2"/>
  <c r="N337" i="2"/>
  <c r="M337" i="2"/>
  <c r="L337" i="2"/>
  <c r="O357" i="2"/>
  <c r="N357" i="2"/>
  <c r="M357" i="2"/>
  <c r="L357" i="2"/>
  <c r="O335" i="2"/>
  <c r="N335" i="2"/>
  <c r="M335" i="2"/>
  <c r="L335" i="2"/>
  <c r="O353" i="2"/>
  <c r="N353" i="2"/>
  <c r="M353" i="2"/>
  <c r="L353" i="2"/>
  <c r="O306" i="2"/>
  <c r="N306" i="2"/>
  <c r="M306" i="2"/>
  <c r="L306" i="2"/>
  <c r="O358" i="2"/>
  <c r="N358" i="2"/>
  <c r="M358" i="2"/>
  <c r="L358" i="2"/>
  <c r="O348" i="2"/>
  <c r="N348" i="2"/>
  <c r="M348" i="2"/>
  <c r="L348" i="2"/>
  <c r="O318" i="2"/>
  <c r="N318" i="2"/>
  <c r="M318" i="2"/>
  <c r="L318" i="2"/>
  <c r="O332" i="2"/>
  <c r="N332" i="2"/>
  <c r="M332" i="2"/>
  <c r="L332" i="2"/>
  <c r="O310" i="2"/>
  <c r="N310" i="2"/>
  <c r="M310" i="2"/>
  <c r="L310" i="2"/>
  <c r="O360" i="2"/>
  <c r="N360" i="2"/>
  <c r="M360" i="2"/>
  <c r="L360" i="2"/>
  <c r="O338" i="2"/>
  <c r="N338" i="2"/>
  <c r="M338" i="2"/>
  <c r="L338" i="2"/>
  <c r="O346" i="2"/>
  <c r="N346" i="2"/>
  <c r="M346" i="2"/>
  <c r="L346" i="2"/>
  <c r="O354" i="2"/>
  <c r="N354" i="2"/>
  <c r="M354" i="2"/>
  <c r="L354" i="2"/>
  <c r="O366" i="2"/>
  <c r="N366" i="2"/>
  <c r="M366" i="2"/>
  <c r="L366" i="2"/>
  <c r="O364" i="2"/>
  <c r="N364" i="2"/>
  <c r="M364" i="2"/>
  <c r="L364" i="2"/>
  <c r="O344" i="2"/>
  <c r="N344" i="2"/>
  <c r="M344" i="2"/>
  <c r="L344" i="2"/>
  <c r="O342" i="2"/>
  <c r="N342" i="2"/>
  <c r="M342" i="2"/>
  <c r="L342" i="2"/>
  <c r="O336" i="2"/>
  <c r="N336" i="2"/>
  <c r="M336" i="2"/>
  <c r="L336" i="2"/>
  <c r="O356" i="2"/>
  <c r="N356" i="2"/>
  <c r="M356" i="2"/>
  <c r="L356" i="2"/>
  <c r="O334" i="2"/>
  <c r="N334" i="2"/>
  <c r="M334" i="2"/>
  <c r="L334" i="2"/>
  <c r="O351" i="2"/>
  <c r="N351" i="2"/>
  <c r="M351" i="2"/>
  <c r="L351" i="2"/>
  <c r="O305" i="2"/>
  <c r="N305" i="2"/>
  <c r="M305" i="2"/>
  <c r="L305" i="2"/>
  <c r="O86" i="2"/>
  <c r="N86" i="2"/>
  <c r="M86" i="2"/>
  <c r="L86" i="2"/>
  <c r="O85" i="2"/>
  <c r="N85" i="2"/>
  <c r="M85" i="2"/>
  <c r="L85" i="2"/>
  <c r="O84" i="2"/>
  <c r="N84" i="2"/>
  <c r="M84" i="2"/>
  <c r="L84" i="2"/>
  <c r="O106" i="2"/>
  <c r="N106" i="2"/>
  <c r="M106" i="2"/>
  <c r="L106" i="2"/>
  <c r="O82" i="2"/>
  <c r="N82" i="2"/>
  <c r="M82" i="2"/>
  <c r="L82" i="2"/>
  <c r="O105" i="2"/>
  <c r="N105" i="2"/>
  <c r="M105" i="2"/>
  <c r="L105" i="2"/>
  <c r="O80" i="2"/>
  <c r="N80" i="2"/>
  <c r="M80" i="2"/>
  <c r="L80" i="2"/>
  <c r="O79" i="2"/>
  <c r="N79" i="2"/>
  <c r="M79" i="2"/>
  <c r="L79" i="2"/>
  <c r="O78" i="2"/>
  <c r="N78" i="2"/>
  <c r="M78" i="2"/>
  <c r="L78" i="2"/>
  <c r="O77" i="2"/>
  <c r="N77" i="2"/>
  <c r="M77" i="2"/>
  <c r="L77" i="2"/>
  <c r="O76" i="2"/>
  <c r="N76" i="2"/>
  <c r="M76" i="2"/>
  <c r="L76" i="2"/>
  <c r="O75" i="2"/>
  <c r="N75" i="2"/>
  <c r="M75" i="2"/>
  <c r="L75" i="2"/>
  <c r="O74" i="2"/>
  <c r="N74" i="2"/>
  <c r="M74" i="2"/>
  <c r="L74" i="2"/>
  <c r="O73" i="2"/>
  <c r="N73" i="2"/>
  <c r="M73" i="2"/>
  <c r="L73" i="2"/>
  <c r="O72" i="2"/>
  <c r="N72" i="2"/>
  <c r="M72" i="2"/>
  <c r="L72" i="2"/>
  <c r="O71" i="2"/>
  <c r="N71" i="2"/>
  <c r="M71" i="2"/>
  <c r="L71" i="2"/>
  <c r="O70" i="2"/>
  <c r="N70" i="2"/>
  <c r="M70" i="2"/>
  <c r="L70" i="2"/>
  <c r="O69" i="2"/>
  <c r="N69" i="2"/>
  <c r="M69" i="2"/>
  <c r="L69" i="2"/>
  <c r="O68" i="2"/>
  <c r="N68" i="2"/>
  <c r="M68" i="2"/>
  <c r="L68" i="2"/>
  <c r="O67" i="2"/>
  <c r="N67" i="2"/>
  <c r="M67" i="2"/>
  <c r="L67" i="2"/>
  <c r="O66" i="2"/>
  <c r="N66" i="2"/>
  <c r="M66" i="2"/>
  <c r="L66" i="2"/>
  <c r="O65" i="2"/>
  <c r="N65" i="2"/>
  <c r="M65" i="2"/>
  <c r="L65" i="2"/>
  <c r="O64" i="2"/>
  <c r="N64" i="2"/>
  <c r="M64" i="2"/>
  <c r="L64" i="2"/>
  <c r="O63" i="2"/>
  <c r="N63" i="2"/>
  <c r="M63" i="2"/>
  <c r="L63" i="2"/>
  <c r="O62" i="2"/>
  <c r="N62" i="2"/>
  <c r="M62" i="2"/>
  <c r="L62" i="2"/>
  <c r="O61" i="2"/>
  <c r="N61" i="2"/>
  <c r="M61" i="2"/>
  <c r="L61" i="2"/>
  <c r="O60" i="2"/>
  <c r="N60" i="2"/>
  <c r="M60" i="2"/>
  <c r="L60" i="2"/>
  <c r="O59" i="2"/>
  <c r="N59" i="2"/>
  <c r="M59" i="2"/>
  <c r="L59" i="2"/>
  <c r="O58" i="2"/>
  <c r="N58" i="2"/>
  <c r="M58" i="2"/>
  <c r="L58" i="2"/>
  <c r="O57" i="2"/>
  <c r="N57" i="2"/>
  <c r="M57" i="2"/>
  <c r="L57" i="2"/>
  <c r="O56" i="2"/>
  <c r="N56" i="2"/>
  <c r="M56" i="2"/>
  <c r="L56" i="2"/>
  <c r="O55" i="2"/>
  <c r="N55" i="2"/>
  <c r="M55" i="2"/>
  <c r="L55" i="2"/>
  <c r="O54" i="2"/>
  <c r="N54" i="2"/>
  <c r="M54" i="2"/>
  <c r="L54" i="2"/>
  <c r="O53" i="2"/>
  <c r="N53" i="2"/>
  <c r="M53" i="2"/>
  <c r="L53" i="2"/>
  <c r="O52" i="2"/>
  <c r="N52" i="2"/>
  <c r="M52" i="2"/>
  <c r="L52" i="2"/>
  <c r="O51" i="2"/>
  <c r="N51" i="2"/>
  <c r="M51" i="2"/>
  <c r="L51" i="2"/>
  <c r="O50" i="2"/>
  <c r="N50" i="2"/>
  <c r="M50" i="2"/>
  <c r="L50" i="2"/>
  <c r="O49" i="2"/>
  <c r="N49" i="2"/>
  <c r="M49" i="2"/>
  <c r="L49" i="2"/>
  <c r="O48" i="2"/>
  <c r="N48" i="2"/>
  <c r="M48" i="2"/>
  <c r="L48" i="2"/>
  <c r="O47" i="2"/>
  <c r="N47" i="2"/>
  <c r="M47" i="2"/>
  <c r="L47" i="2"/>
  <c r="O46" i="2"/>
  <c r="N46" i="2"/>
  <c r="M46" i="2"/>
  <c r="L46" i="2"/>
  <c r="O45" i="2"/>
  <c r="N45" i="2"/>
  <c r="M45" i="2"/>
  <c r="L45" i="2"/>
  <c r="O44" i="2"/>
  <c r="N44" i="2"/>
  <c r="M44" i="2"/>
  <c r="L44" i="2"/>
  <c r="O43" i="2"/>
  <c r="N43" i="2"/>
  <c r="M43" i="2"/>
  <c r="L43" i="2"/>
  <c r="O42" i="2"/>
  <c r="N42" i="2"/>
  <c r="M42" i="2"/>
  <c r="L42" i="2"/>
  <c r="O118" i="2"/>
  <c r="N118" i="2"/>
  <c r="M118" i="2"/>
  <c r="L118" i="2"/>
  <c r="O40" i="2"/>
  <c r="N40" i="2"/>
  <c r="M40" i="2"/>
  <c r="L40" i="2"/>
  <c r="O117" i="2"/>
  <c r="N117" i="2"/>
  <c r="M117" i="2"/>
  <c r="L117" i="2"/>
  <c r="O38" i="2"/>
  <c r="N38" i="2"/>
  <c r="M38" i="2"/>
  <c r="L38" i="2"/>
  <c r="O37" i="2"/>
  <c r="N37" i="2"/>
  <c r="M37" i="2"/>
  <c r="L37" i="2"/>
  <c r="O116" i="2"/>
  <c r="N116" i="2"/>
  <c r="M116" i="2"/>
  <c r="L116" i="2"/>
  <c r="O35" i="2"/>
  <c r="N35" i="2"/>
  <c r="M35" i="2"/>
  <c r="L35" i="2"/>
  <c r="O115" i="2"/>
  <c r="N115" i="2"/>
  <c r="M115" i="2"/>
  <c r="L115" i="2"/>
  <c r="O33" i="2"/>
  <c r="N33" i="2"/>
  <c r="M33" i="2"/>
  <c r="L33" i="2"/>
  <c r="O32" i="2"/>
  <c r="N32" i="2"/>
  <c r="M32" i="2"/>
  <c r="L32" i="2"/>
  <c r="O31" i="2"/>
  <c r="N31" i="2"/>
  <c r="M31" i="2"/>
  <c r="L31" i="2"/>
  <c r="O30" i="2"/>
  <c r="N30" i="2"/>
  <c r="M30" i="2"/>
  <c r="L30" i="2"/>
  <c r="O29" i="2"/>
  <c r="N29" i="2"/>
  <c r="M29" i="2"/>
  <c r="L29" i="2"/>
  <c r="O28" i="2"/>
  <c r="N28" i="2"/>
  <c r="M28" i="2"/>
  <c r="L28" i="2"/>
  <c r="O27" i="2"/>
  <c r="N27" i="2"/>
  <c r="M27" i="2"/>
  <c r="L27" i="2"/>
  <c r="O26" i="2"/>
  <c r="N26" i="2"/>
  <c r="M26" i="2"/>
  <c r="L26" i="2"/>
  <c r="O25" i="2"/>
  <c r="N25" i="2"/>
  <c r="M25" i="2"/>
  <c r="L25" i="2"/>
  <c r="O24" i="2"/>
  <c r="N24" i="2"/>
  <c r="M24" i="2"/>
  <c r="L24" i="2"/>
  <c r="O23" i="2"/>
  <c r="N23" i="2"/>
  <c r="M23" i="2"/>
  <c r="L23" i="2"/>
  <c r="O22" i="2"/>
  <c r="N22" i="2"/>
  <c r="M22" i="2"/>
  <c r="L22" i="2"/>
  <c r="O21" i="2"/>
  <c r="N21" i="2"/>
  <c r="M21" i="2"/>
  <c r="L21" i="2"/>
  <c r="O20" i="2"/>
  <c r="N20" i="2"/>
  <c r="M20" i="2"/>
  <c r="L20" i="2"/>
  <c r="O19" i="2"/>
  <c r="N19" i="2"/>
  <c r="M19" i="2"/>
  <c r="L19" i="2"/>
  <c r="O18" i="2"/>
  <c r="N18" i="2"/>
  <c r="M18" i="2"/>
  <c r="L18" i="2"/>
  <c r="O17" i="2"/>
  <c r="N17" i="2"/>
  <c r="M17" i="2"/>
  <c r="L17" i="2"/>
  <c r="O16" i="2"/>
  <c r="N16" i="2"/>
  <c r="M16" i="2"/>
  <c r="L16" i="2"/>
  <c r="O15" i="2"/>
  <c r="N15" i="2"/>
  <c r="M15" i="2"/>
  <c r="L15" i="2"/>
  <c r="O14" i="2"/>
  <c r="N14" i="2"/>
  <c r="M14" i="2"/>
  <c r="L14" i="2"/>
  <c r="O13" i="2"/>
  <c r="N13" i="2"/>
  <c r="M13" i="2"/>
  <c r="L13" i="2"/>
  <c r="O12" i="2"/>
  <c r="N12" i="2"/>
  <c r="M12" i="2"/>
  <c r="L12" i="2"/>
  <c r="O11" i="2"/>
  <c r="N11" i="2"/>
  <c r="M11" i="2"/>
  <c r="L11" i="2"/>
  <c r="O10" i="2"/>
  <c r="N10" i="2"/>
  <c r="M10" i="2"/>
  <c r="L10" i="2"/>
  <c r="O9" i="2"/>
  <c r="N9" i="2"/>
  <c r="M9" i="2"/>
  <c r="L9" i="2"/>
  <c r="O8" i="2"/>
  <c r="N8" i="2"/>
  <c r="M8" i="2"/>
  <c r="L8" i="2"/>
  <c r="O7" i="2"/>
  <c r="N7" i="2"/>
  <c r="M7" i="2"/>
  <c r="L7" i="2"/>
  <c r="O6" i="2"/>
  <c r="N6" i="2"/>
  <c r="M6" i="2"/>
  <c r="L6" i="2"/>
  <c r="O315" i="2"/>
  <c r="N315" i="2"/>
  <c r="M315" i="2"/>
  <c r="L315" i="2"/>
  <c r="O313" i="2"/>
  <c r="N313" i="2"/>
  <c r="M313" i="2"/>
  <c r="L313" i="2"/>
  <c r="O314" i="2"/>
  <c r="N314" i="2"/>
  <c r="M314" i="2"/>
  <c r="L314" i="2"/>
  <c r="O312" i="2"/>
  <c r="N312" i="2"/>
  <c r="M312" i="2"/>
  <c r="L312" i="2"/>
  <c r="O189" i="1"/>
  <c r="O46" i="1"/>
  <c r="O48" i="1"/>
  <c r="O101" i="1"/>
  <c r="O164" i="1"/>
  <c r="O36" i="1"/>
  <c r="O37" i="1"/>
  <c r="O38" i="1"/>
  <c r="O191" i="1"/>
  <c r="O258" i="1"/>
  <c r="O262" i="1"/>
  <c r="O49" i="1"/>
  <c r="O54" i="1"/>
  <c r="O55" i="1"/>
  <c r="O56" i="1"/>
  <c r="O57" i="1"/>
  <c r="O58" i="1"/>
  <c r="O59" i="1"/>
  <c r="O60" i="1"/>
  <c r="O61" i="1"/>
  <c r="O62" i="1"/>
  <c r="O63" i="1"/>
  <c r="O64" i="1"/>
  <c r="O65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166" i="1"/>
  <c r="O18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5" i="1"/>
  <c r="O136" i="1"/>
  <c r="O148" i="1"/>
  <c r="O183" i="1"/>
  <c r="O150" i="1"/>
  <c r="O151" i="1"/>
  <c r="O152" i="1"/>
  <c r="O153" i="1"/>
  <c r="O154" i="1"/>
  <c r="O155" i="1"/>
  <c r="O156" i="1"/>
  <c r="O157" i="1"/>
  <c r="O159" i="1"/>
  <c r="O160" i="1"/>
  <c r="O162" i="1"/>
  <c r="O163" i="1"/>
  <c r="O193" i="1"/>
  <c r="O260" i="1"/>
  <c r="O264" i="1"/>
  <c r="O168" i="1"/>
  <c r="O172" i="1"/>
  <c r="O173" i="1"/>
  <c r="O174" i="1"/>
  <c r="O175" i="1"/>
  <c r="O176" i="1"/>
  <c r="O178" i="1"/>
  <c r="O188" i="1"/>
  <c r="O190" i="1"/>
  <c r="O47" i="1"/>
  <c r="O100" i="1"/>
  <c r="O149" i="1"/>
  <c r="O165" i="1"/>
  <c r="O180" i="1"/>
  <c r="O182" i="1"/>
  <c r="O184" i="1"/>
  <c r="O25" i="1"/>
  <c r="O192" i="1"/>
  <c r="O26" i="1"/>
  <c r="O23" i="1"/>
  <c r="O259" i="1"/>
  <c r="O24" i="1"/>
  <c r="O27" i="1"/>
  <c r="O263" i="1"/>
  <c r="O28" i="1"/>
  <c r="O280" i="1"/>
  <c r="O281" i="1"/>
  <c r="O283" i="1"/>
  <c r="O284" i="1"/>
  <c r="O285" i="1"/>
  <c r="O286" i="1"/>
  <c r="O287" i="1"/>
  <c r="O294" i="1"/>
  <c r="O298" i="1"/>
  <c r="O306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5" i="1"/>
  <c r="O326" i="1"/>
  <c r="O328" i="1"/>
  <c r="O329" i="1"/>
  <c r="O330" i="1"/>
  <c r="O331" i="1"/>
  <c r="O332" i="1"/>
  <c r="O333" i="1"/>
  <c r="O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9" i="1"/>
  <c r="O30" i="1"/>
  <c r="O31" i="1"/>
  <c r="O32" i="1"/>
  <c r="O33" i="1"/>
  <c r="O34" i="1"/>
  <c r="O35" i="1"/>
  <c r="O39" i="1"/>
  <c r="O40" i="1"/>
  <c r="O41" i="1"/>
  <c r="O42" i="1"/>
  <c r="O43" i="1"/>
  <c r="O44" i="1"/>
  <c r="O45" i="1"/>
  <c r="O50" i="1"/>
  <c r="O51" i="1"/>
  <c r="O52" i="1"/>
  <c r="O53" i="1"/>
  <c r="O66" i="1"/>
  <c r="O99" i="1"/>
  <c r="O133" i="1"/>
  <c r="O134" i="1"/>
  <c r="O137" i="1"/>
  <c r="O138" i="1"/>
  <c r="O139" i="1"/>
  <c r="O140" i="1"/>
  <c r="O141" i="1"/>
  <c r="O142" i="1"/>
  <c r="O143" i="1"/>
  <c r="O144" i="1"/>
  <c r="O145" i="1"/>
  <c r="O146" i="1"/>
  <c r="O147" i="1"/>
  <c r="O158" i="1"/>
  <c r="O161" i="1"/>
  <c r="O167" i="1"/>
  <c r="O169" i="1"/>
  <c r="O170" i="1"/>
  <c r="O171" i="1"/>
  <c r="O177" i="1"/>
  <c r="O179" i="1"/>
  <c r="O186" i="1"/>
  <c r="O187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61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2" i="1"/>
  <c r="O288" i="1"/>
  <c r="O289" i="1"/>
  <c r="O290" i="1"/>
  <c r="O291" i="1"/>
  <c r="O292" i="1"/>
  <c r="O293" i="1"/>
  <c r="O295" i="1"/>
  <c r="O296" i="1"/>
  <c r="O297" i="1"/>
  <c r="O299" i="1"/>
  <c r="O300" i="1"/>
  <c r="O301" i="1"/>
  <c r="O302" i="1"/>
  <c r="O303" i="1"/>
  <c r="O304" i="1"/>
  <c r="O305" i="1"/>
  <c r="O307" i="1"/>
  <c r="O308" i="1"/>
  <c r="O309" i="1"/>
  <c r="O322" i="1"/>
  <c r="O323" i="1"/>
  <c r="O324" i="1"/>
  <c r="O327" i="1"/>
  <c r="O334" i="1"/>
  <c r="O335" i="1"/>
  <c r="O336" i="1"/>
  <c r="O185" i="1"/>
  <c r="N189" i="1"/>
  <c r="N46" i="1"/>
  <c r="N48" i="1"/>
  <c r="N101" i="1"/>
  <c r="N164" i="1"/>
  <c r="N36" i="1"/>
  <c r="N37" i="1"/>
  <c r="N38" i="1"/>
  <c r="N191" i="1"/>
  <c r="N258" i="1"/>
  <c r="N262" i="1"/>
  <c r="N49" i="1"/>
  <c r="N54" i="1"/>
  <c r="N55" i="1"/>
  <c r="N56" i="1"/>
  <c r="N57" i="1"/>
  <c r="N58" i="1"/>
  <c r="N59" i="1"/>
  <c r="N60" i="1"/>
  <c r="N61" i="1"/>
  <c r="N62" i="1"/>
  <c r="N63" i="1"/>
  <c r="N64" i="1"/>
  <c r="N65" i="1"/>
  <c r="N67" i="1"/>
  <c r="N68" i="1"/>
  <c r="N69" i="1"/>
  <c r="N70" i="1"/>
  <c r="N71" i="1"/>
  <c r="N72" i="1"/>
  <c r="N73" i="1"/>
  <c r="N74" i="1"/>
  <c r="N75" i="1"/>
  <c r="N76" i="1"/>
  <c r="N77" i="1"/>
  <c r="N78" i="1"/>
  <c r="N79" i="1"/>
  <c r="N80" i="1"/>
  <c r="N81" i="1"/>
  <c r="N82" i="1"/>
  <c r="N83" i="1"/>
  <c r="N84" i="1"/>
  <c r="N85" i="1"/>
  <c r="N86" i="1"/>
  <c r="N87" i="1"/>
  <c r="N88" i="1"/>
  <c r="N89" i="1"/>
  <c r="N90" i="1"/>
  <c r="N91" i="1"/>
  <c r="N92" i="1"/>
  <c r="N93" i="1"/>
  <c r="N94" i="1"/>
  <c r="N95" i="1"/>
  <c r="N96" i="1"/>
  <c r="N97" i="1"/>
  <c r="N98" i="1"/>
  <c r="N166" i="1"/>
  <c r="N181" i="1"/>
  <c r="N102" i="1"/>
  <c r="N103" i="1"/>
  <c r="N104" i="1"/>
  <c r="N105" i="1"/>
  <c r="N106" i="1"/>
  <c r="N107" i="1"/>
  <c r="N108" i="1"/>
  <c r="N109" i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5" i="1"/>
  <c r="N136" i="1"/>
  <c r="N148" i="1"/>
  <c r="N183" i="1"/>
  <c r="N150" i="1"/>
  <c r="N151" i="1"/>
  <c r="N152" i="1"/>
  <c r="N153" i="1"/>
  <c r="N154" i="1"/>
  <c r="N155" i="1"/>
  <c r="N156" i="1"/>
  <c r="N157" i="1"/>
  <c r="N159" i="1"/>
  <c r="N160" i="1"/>
  <c r="N162" i="1"/>
  <c r="N163" i="1"/>
  <c r="N193" i="1"/>
  <c r="N260" i="1"/>
  <c r="N264" i="1"/>
  <c r="N168" i="1"/>
  <c r="N172" i="1"/>
  <c r="N173" i="1"/>
  <c r="N174" i="1"/>
  <c r="N175" i="1"/>
  <c r="N176" i="1"/>
  <c r="N178" i="1"/>
  <c r="N188" i="1"/>
  <c r="N190" i="1"/>
  <c r="N47" i="1"/>
  <c r="N100" i="1"/>
  <c r="N149" i="1"/>
  <c r="N165" i="1"/>
  <c r="N180" i="1"/>
  <c r="N182" i="1"/>
  <c r="N184" i="1"/>
  <c r="N25" i="1"/>
  <c r="N192" i="1"/>
  <c r="N26" i="1"/>
  <c r="N23" i="1"/>
  <c r="N259" i="1"/>
  <c r="N24" i="1"/>
  <c r="N27" i="1"/>
  <c r="N263" i="1"/>
  <c r="N28" i="1"/>
  <c r="N280" i="1"/>
  <c r="N281" i="1"/>
  <c r="N283" i="1"/>
  <c r="N284" i="1"/>
  <c r="N285" i="1"/>
  <c r="N286" i="1"/>
  <c r="N287" i="1"/>
  <c r="N294" i="1"/>
  <c r="N298" i="1"/>
  <c r="N306" i="1"/>
  <c r="N310" i="1"/>
  <c r="N311" i="1"/>
  <c r="N312" i="1"/>
  <c r="N313" i="1"/>
  <c r="N314" i="1"/>
  <c r="N315" i="1"/>
  <c r="N316" i="1"/>
  <c r="N317" i="1"/>
  <c r="N318" i="1"/>
  <c r="N319" i="1"/>
  <c r="N320" i="1"/>
  <c r="N321" i="1"/>
  <c r="N325" i="1"/>
  <c r="N326" i="1"/>
  <c r="N328" i="1"/>
  <c r="N329" i="1"/>
  <c r="N330" i="1"/>
  <c r="N331" i="1"/>
  <c r="N332" i="1"/>
  <c r="N333" i="1"/>
  <c r="N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9" i="1"/>
  <c r="N30" i="1"/>
  <c r="N31" i="1"/>
  <c r="N32" i="1"/>
  <c r="N33" i="1"/>
  <c r="N34" i="1"/>
  <c r="N35" i="1"/>
  <c r="N39" i="1"/>
  <c r="N40" i="1"/>
  <c r="N41" i="1"/>
  <c r="N42" i="1"/>
  <c r="N43" i="1"/>
  <c r="N44" i="1"/>
  <c r="N45" i="1"/>
  <c r="N50" i="1"/>
  <c r="N51" i="1"/>
  <c r="N52" i="1"/>
  <c r="N53" i="1"/>
  <c r="N66" i="1"/>
  <c r="N99" i="1"/>
  <c r="N133" i="1"/>
  <c r="N134" i="1"/>
  <c r="N137" i="1"/>
  <c r="N138" i="1"/>
  <c r="N139" i="1"/>
  <c r="N140" i="1"/>
  <c r="N141" i="1"/>
  <c r="N142" i="1"/>
  <c r="N143" i="1"/>
  <c r="N144" i="1"/>
  <c r="N145" i="1"/>
  <c r="N146" i="1"/>
  <c r="N147" i="1"/>
  <c r="N158" i="1"/>
  <c r="N161" i="1"/>
  <c r="N167" i="1"/>
  <c r="N169" i="1"/>
  <c r="N170" i="1"/>
  <c r="N171" i="1"/>
  <c r="N177" i="1"/>
  <c r="N179" i="1"/>
  <c r="N186" i="1"/>
  <c r="N187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N216" i="1"/>
  <c r="N217" i="1"/>
  <c r="N218" i="1"/>
  <c r="N219" i="1"/>
  <c r="N220" i="1"/>
  <c r="N221" i="1"/>
  <c r="N222" i="1"/>
  <c r="N223" i="1"/>
  <c r="N224" i="1"/>
  <c r="N225" i="1"/>
  <c r="N226" i="1"/>
  <c r="N227" i="1"/>
  <c r="N228" i="1"/>
  <c r="N229" i="1"/>
  <c r="N230" i="1"/>
  <c r="N231" i="1"/>
  <c r="N232" i="1"/>
  <c r="N233" i="1"/>
  <c r="N234" i="1"/>
  <c r="N235" i="1"/>
  <c r="N236" i="1"/>
  <c r="N237" i="1"/>
  <c r="N238" i="1"/>
  <c r="N239" i="1"/>
  <c r="N240" i="1"/>
  <c r="N241" i="1"/>
  <c r="N242" i="1"/>
  <c r="N243" i="1"/>
  <c r="N244" i="1"/>
  <c r="N245" i="1"/>
  <c r="N246" i="1"/>
  <c r="N247" i="1"/>
  <c r="N248" i="1"/>
  <c r="N249" i="1"/>
  <c r="N250" i="1"/>
  <c r="N251" i="1"/>
  <c r="N252" i="1"/>
  <c r="N253" i="1"/>
  <c r="N254" i="1"/>
  <c r="N255" i="1"/>
  <c r="N256" i="1"/>
  <c r="N257" i="1"/>
  <c r="N261" i="1"/>
  <c r="N265" i="1"/>
  <c r="N266" i="1"/>
  <c r="N267" i="1"/>
  <c r="N268" i="1"/>
  <c r="N269" i="1"/>
  <c r="N270" i="1"/>
  <c r="N271" i="1"/>
  <c r="N272" i="1"/>
  <c r="N273" i="1"/>
  <c r="N274" i="1"/>
  <c r="N275" i="1"/>
  <c r="N276" i="1"/>
  <c r="N277" i="1"/>
  <c r="N278" i="1"/>
  <c r="N279" i="1"/>
  <c r="N282" i="1"/>
  <c r="N288" i="1"/>
  <c r="N289" i="1"/>
  <c r="N290" i="1"/>
  <c r="N291" i="1"/>
  <c r="N292" i="1"/>
  <c r="N293" i="1"/>
  <c r="N295" i="1"/>
  <c r="N296" i="1"/>
  <c r="N297" i="1"/>
  <c r="N299" i="1"/>
  <c r="N300" i="1"/>
  <c r="N301" i="1"/>
  <c r="N302" i="1"/>
  <c r="N303" i="1"/>
  <c r="N304" i="1"/>
  <c r="N305" i="1"/>
  <c r="N307" i="1"/>
  <c r="N308" i="1"/>
  <c r="N309" i="1"/>
  <c r="N322" i="1"/>
  <c r="N323" i="1"/>
  <c r="N324" i="1"/>
  <c r="N327" i="1"/>
  <c r="N334" i="1"/>
  <c r="N335" i="1"/>
  <c r="N336" i="1"/>
  <c r="M189" i="1"/>
  <c r="M46" i="1"/>
  <c r="M48" i="1"/>
  <c r="M101" i="1"/>
  <c r="M164" i="1"/>
  <c r="M36" i="1"/>
  <c r="M37" i="1"/>
  <c r="M38" i="1"/>
  <c r="M191" i="1"/>
  <c r="M258" i="1"/>
  <c r="M262" i="1"/>
  <c r="M49" i="1"/>
  <c r="M54" i="1"/>
  <c r="M55" i="1"/>
  <c r="M56" i="1"/>
  <c r="M57" i="1"/>
  <c r="M58" i="1"/>
  <c r="M59" i="1"/>
  <c r="M60" i="1"/>
  <c r="M61" i="1"/>
  <c r="M62" i="1"/>
  <c r="M63" i="1"/>
  <c r="M64" i="1"/>
  <c r="M65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166" i="1"/>
  <c r="M18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5" i="1"/>
  <c r="M136" i="1"/>
  <c r="M148" i="1"/>
  <c r="M183" i="1"/>
  <c r="M150" i="1"/>
  <c r="M151" i="1"/>
  <c r="M152" i="1"/>
  <c r="M153" i="1"/>
  <c r="M154" i="1"/>
  <c r="M155" i="1"/>
  <c r="M156" i="1"/>
  <c r="M157" i="1"/>
  <c r="M159" i="1"/>
  <c r="M160" i="1"/>
  <c r="M162" i="1"/>
  <c r="M163" i="1"/>
  <c r="M193" i="1"/>
  <c r="M260" i="1"/>
  <c r="M264" i="1"/>
  <c r="M168" i="1"/>
  <c r="M172" i="1"/>
  <c r="M173" i="1"/>
  <c r="M174" i="1"/>
  <c r="M175" i="1"/>
  <c r="M176" i="1"/>
  <c r="M178" i="1"/>
  <c r="M188" i="1"/>
  <c r="M190" i="1"/>
  <c r="M47" i="1"/>
  <c r="M100" i="1"/>
  <c r="M149" i="1"/>
  <c r="M165" i="1"/>
  <c r="M180" i="1"/>
  <c r="M182" i="1"/>
  <c r="M184" i="1"/>
  <c r="M25" i="1"/>
  <c r="M192" i="1"/>
  <c r="M26" i="1"/>
  <c r="M23" i="1"/>
  <c r="M259" i="1"/>
  <c r="M24" i="1"/>
  <c r="M27" i="1"/>
  <c r="M263" i="1"/>
  <c r="M28" i="1"/>
  <c r="M280" i="1"/>
  <c r="M281" i="1"/>
  <c r="M283" i="1"/>
  <c r="M284" i="1"/>
  <c r="M285" i="1"/>
  <c r="M286" i="1"/>
  <c r="M287" i="1"/>
  <c r="M294" i="1"/>
  <c r="M298" i="1"/>
  <c r="M306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5" i="1"/>
  <c r="M326" i="1"/>
  <c r="M328" i="1"/>
  <c r="M329" i="1"/>
  <c r="M330" i="1"/>
  <c r="M331" i="1"/>
  <c r="M332" i="1"/>
  <c r="M333" i="1"/>
  <c r="M2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9" i="1"/>
  <c r="M30" i="1"/>
  <c r="M31" i="1"/>
  <c r="M32" i="1"/>
  <c r="M33" i="1"/>
  <c r="M34" i="1"/>
  <c r="M35" i="1"/>
  <c r="M39" i="1"/>
  <c r="M40" i="1"/>
  <c r="M41" i="1"/>
  <c r="M42" i="1"/>
  <c r="M43" i="1"/>
  <c r="M44" i="1"/>
  <c r="M45" i="1"/>
  <c r="M50" i="1"/>
  <c r="M51" i="1"/>
  <c r="M52" i="1"/>
  <c r="M53" i="1"/>
  <c r="M66" i="1"/>
  <c r="M99" i="1"/>
  <c r="M133" i="1"/>
  <c r="M134" i="1"/>
  <c r="M137" i="1"/>
  <c r="M138" i="1"/>
  <c r="M139" i="1"/>
  <c r="M140" i="1"/>
  <c r="M141" i="1"/>
  <c r="M142" i="1"/>
  <c r="M143" i="1"/>
  <c r="M144" i="1"/>
  <c r="M145" i="1"/>
  <c r="M146" i="1"/>
  <c r="M147" i="1"/>
  <c r="M158" i="1"/>
  <c r="M161" i="1"/>
  <c r="M167" i="1"/>
  <c r="M169" i="1"/>
  <c r="M170" i="1"/>
  <c r="M171" i="1"/>
  <c r="M177" i="1"/>
  <c r="M179" i="1"/>
  <c r="M186" i="1"/>
  <c r="M187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61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2" i="1"/>
  <c r="M288" i="1"/>
  <c r="M289" i="1"/>
  <c r="M290" i="1"/>
  <c r="M291" i="1"/>
  <c r="M292" i="1"/>
  <c r="M293" i="1"/>
  <c r="M295" i="1"/>
  <c r="M296" i="1"/>
  <c r="M297" i="1"/>
  <c r="M299" i="1"/>
  <c r="M300" i="1"/>
  <c r="M301" i="1"/>
  <c r="M302" i="1"/>
  <c r="M303" i="1"/>
  <c r="M304" i="1"/>
  <c r="M305" i="1"/>
  <c r="M307" i="1"/>
  <c r="M308" i="1"/>
  <c r="M309" i="1"/>
  <c r="M322" i="1"/>
  <c r="M323" i="1"/>
  <c r="M324" i="1"/>
  <c r="M327" i="1"/>
  <c r="M334" i="1"/>
  <c r="M335" i="1"/>
  <c r="M336" i="1"/>
  <c r="M185" i="1"/>
  <c r="N185" i="1"/>
  <c r="L189" i="1"/>
  <c r="L46" i="1"/>
  <c r="L48" i="1"/>
  <c r="L101" i="1"/>
  <c r="L164" i="1"/>
  <c r="L36" i="1"/>
  <c r="L37" i="1"/>
  <c r="L38" i="1"/>
  <c r="L191" i="1"/>
  <c r="L258" i="1"/>
  <c r="L262" i="1"/>
  <c r="L49" i="1"/>
  <c r="L54" i="1"/>
  <c r="L55" i="1"/>
  <c r="L56" i="1"/>
  <c r="L57" i="1"/>
  <c r="L58" i="1"/>
  <c r="L59" i="1"/>
  <c r="L60" i="1"/>
  <c r="L61" i="1"/>
  <c r="L62" i="1"/>
  <c r="L63" i="1"/>
  <c r="L64" i="1"/>
  <c r="L65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166" i="1"/>
  <c r="L18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5" i="1"/>
  <c r="L136" i="1"/>
  <c r="L148" i="1"/>
  <c r="L183" i="1"/>
  <c r="L150" i="1"/>
  <c r="L151" i="1"/>
  <c r="L152" i="1"/>
  <c r="L153" i="1"/>
  <c r="L154" i="1"/>
  <c r="L155" i="1"/>
  <c r="L156" i="1"/>
  <c r="L157" i="1"/>
  <c r="L159" i="1"/>
  <c r="L160" i="1"/>
  <c r="L162" i="1"/>
  <c r="L163" i="1"/>
  <c r="L193" i="1"/>
  <c r="L260" i="1"/>
  <c r="L264" i="1"/>
  <c r="L168" i="1"/>
  <c r="L172" i="1"/>
  <c r="L173" i="1"/>
  <c r="L174" i="1"/>
  <c r="L175" i="1"/>
  <c r="L176" i="1"/>
  <c r="L178" i="1"/>
  <c r="L188" i="1"/>
  <c r="L190" i="1"/>
  <c r="L47" i="1"/>
  <c r="L100" i="1"/>
  <c r="L149" i="1"/>
  <c r="L165" i="1"/>
  <c r="L180" i="1"/>
  <c r="L182" i="1"/>
  <c r="L184" i="1"/>
  <c r="L25" i="1"/>
  <c r="L192" i="1"/>
  <c r="L26" i="1"/>
  <c r="L23" i="1"/>
  <c r="L259" i="1"/>
  <c r="L24" i="1"/>
  <c r="L27" i="1"/>
  <c r="L263" i="1"/>
  <c r="L28" i="1"/>
  <c r="L280" i="1"/>
  <c r="L281" i="1"/>
  <c r="L283" i="1"/>
  <c r="L284" i="1"/>
  <c r="L285" i="1"/>
  <c r="L286" i="1"/>
  <c r="L287" i="1"/>
  <c r="L294" i="1"/>
  <c r="L298" i="1"/>
  <c r="L306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5" i="1"/>
  <c r="L326" i="1"/>
  <c r="L328" i="1"/>
  <c r="L329" i="1"/>
  <c r="L330" i="1"/>
  <c r="L331" i="1"/>
  <c r="L332" i="1"/>
  <c r="L333" i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9" i="1"/>
  <c r="L30" i="1"/>
  <c r="L31" i="1"/>
  <c r="L32" i="1"/>
  <c r="L33" i="1"/>
  <c r="L34" i="1"/>
  <c r="L35" i="1"/>
  <c r="L39" i="1"/>
  <c r="L40" i="1"/>
  <c r="L41" i="1"/>
  <c r="L42" i="1"/>
  <c r="L43" i="1"/>
  <c r="L44" i="1"/>
  <c r="L45" i="1"/>
  <c r="L50" i="1"/>
  <c r="L51" i="1"/>
  <c r="L52" i="1"/>
  <c r="L53" i="1"/>
  <c r="L66" i="1"/>
  <c r="L99" i="1"/>
  <c r="L133" i="1"/>
  <c r="L134" i="1"/>
  <c r="L137" i="1"/>
  <c r="L138" i="1"/>
  <c r="L139" i="1"/>
  <c r="L140" i="1"/>
  <c r="L141" i="1"/>
  <c r="L142" i="1"/>
  <c r="L143" i="1"/>
  <c r="L144" i="1"/>
  <c r="L145" i="1"/>
  <c r="L146" i="1"/>
  <c r="L147" i="1"/>
  <c r="L158" i="1"/>
  <c r="L161" i="1"/>
  <c r="L167" i="1"/>
  <c r="L169" i="1"/>
  <c r="L170" i="1"/>
  <c r="L171" i="1"/>
  <c r="L177" i="1"/>
  <c r="L179" i="1"/>
  <c r="L186" i="1"/>
  <c r="L187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61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2" i="1"/>
  <c r="L288" i="1"/>
  <c r="L289" i="1"/>
  <c r="L290" i="1"/>
  <c r="L291" i="1"/>
  <c r="L292" i="1"/>
  <c r="L293" i="1"/>
  <c r="L295" i="1"/>
  <c r="L296" i="1"/>
  <c r="L297" i="1"/>
  <c r="L299" i="1"/>
  <c r="L300" i="1"/>
  <c r="L301" i="1"/>
  <c r="L302" i="1"/>
  <c r="L303" i="1"/>
  <c r="L304" i="1"/>
  <c r="L305" i="1"/>
  <c r="L307" i="1"/>
  <c r="L308" i="1"/>
  <c r="L309" i="1"/>
  <c r="L322" i="1"/>
  <c r="L323" i="1"/>
  <c r="L324" i="1"/>
  <c r="L327" i="1"/>
  <c r="L334" i="1"/>
  <c r="L335" i="1"/>
  <c r="L336" i="1"/>
  <c r="L185" i="1"/>
</calcChain>
</file>

<file path=xl/sharedStrings.xml><?xml version="1.0" encoding="utf-8"?>
<sst xmlns="http://schemas.openxmlformats.org/spreadsheetml/2006/main" count="3771" uniqueCount="810">
  <si>
    <t>SNO</t>
  </si>
  <si>
    <t xml:space="preserve">INSURANCE </t>
  </si>
  <si>
    <t>CheCk date</t>
  </si>
  <si>
    <t>CHECK</t>
  </si>
  <si>
    <t>STATUS</t>
  </si>
  <si>
    <t>TRACKER STATUS</t>
  </si>
  <si>
    <t>AMOUNT</t>
  </si>
  <si>
    <t>Reason Code</t>
  </si>
  <si>
    <t>Payer Claim Control # / ICN#</t>
  </si>
  <si>
    <t>Amount</t>
  </si>
  <si>
    <t>IL MEDICARE</t>
  </si>
  <si>
    <t>NOT UPDATED</t>
  </si>
  <si>
    <t>FB</t>
  </si>
  <si>
    <t>OC402927X26592</t>
  </si>
  <si>
    <t>OC409472X50299</t>
  </si>
  <si>
    <t>WO</t>
  </si>
  <si>
    <t>52933AG</t>
  </si>
  <si>
    <t>52933AG-I</t>
  </si>
  <si>
    <t>53019AG</t>
  </si>
  <si>
    <t>53019AG-I</t>
  </si>
  <si>
    <t>HUMANA</t>
  </si>
  <si>
    <t>POC219622X3353/820240851017271</t>
  </si>
  <si>
    <t>POC320012X19134/820242990423034</t>
  </si>
  <si>
    <t>POC233854X19134/820241170019138</t>
  </si>
  <si>
    <t>POC287418X36471/820242340716891</t>
  </si>
  <si>
    <t> $23,506.70</t>
  </si>
  <si>
    <t>POC363356X46020/820250220151705</t>
  </si>
  <si>
    <t>AETNA</t>
  </si>
  <si>
    <t>E1TYKKLM50000-OC386382X21476-2025-03-03</t>
  </si>
  <si>
    <t>CS</t>
  </si>
  <si>
    <t>($10.90</t>
  </si>
  <si>
    <t>E3ADJQMV90000-OC367174X39290-2025-01-22</t>
  </si>
  <si>
    <t>E3ADJQMV90002-OC367174X39290-2025-01-22</t>
  </si>
  <si>
    <t>EQJNMR04Q0000-OC397759X40766-2025-03-24</t>
  </si>
  <si>
    <t>EX37KFCC10000-OC385494X46897-2025-03-01</t>
  </si>
  <si>
    <t>EYFDHKRR80002-OC343611X27371-2024-12-03</t>
  </si>
  <si>
    <t>ESPDKSY1P0000-OC393234X47041-2025-03-14</t>
  </si>
  <si>
    <t>EMTYLW89N0000-OC375975X21706-2025-02-11</t>
  </si>
  <si>
    <t>ETADKR5LL0000-OC390072X47800-2025-03-10</t>
  </si>
  <si>
    <t>E1TYKW8M90000-OC394424X48818-2025-03-18</t>
  </si>
  <si>
    <t>ECJNK5GL00000-OC360562X21611-2025-01-09</t>
  </si>
  <si>
    <t>EG37L9NDV0000-OC389191X47593-2025-03-07</t>
  </si>
  <si>
    <t>EHFDK807K0000-OC363821X45413-2025-01-05</t>
  </si>
  <si>
    <t>EMTYL8XSS0000-OC385428X17897-2025-03-01</t>
  </si>
  <si>
    <t>ER59MF9BQ0000-OC389705X45194-2025-03-08</t>
  </si>
  <si>
    <t>ESY2KFDHS0000-OC383281X46447-2025-02-25</t>
  </si>
  <si>
    <t>EV37KBBYY0000-OC372646X47024-2025-02-01</t>
  </si>
  <si>
    <t>EVADKH4CJ0000-OC387568X15610-2025-03-05</t>
  </si>
  <si>
    <t>EVTYH58820000-OC356076X43026-2025-01-02</t>
  </si>
  <si>
    <t>EXJNKSS5X0000-OC394490X10735-2025-03-18</t>
  </si>
  <si>
    <t>EYPDKVZBQ0000-OC376662X14029-2025-02-12</t>
  </si>
  <si>
    <t>E6PDKVH2Y0000-OC393190X6669-2025-03-14</t>
  </si>
  <si>
    <t>EPFDMJTRD0000-OC391989X3160-2025-03-13</t>
  </si>
  <si>
    <t>ESPDKWLWR0000-OC394881X22583-2025-03-18</t>
  </si>
  <si>
    <t>ETTYKNJ3H0000-OC385566X17630-2025-03-03</t>
  </si>
  <si>
    <t>E3JNKWPDS0000-OC396145X13914-2025-03-20</t>
  </si>
  <si>
    <t>E6PDKRB9D0000-OC389120X7480-2025-03-07</t>
  </si>
  <si>
    <t>E3ADKZB3H0000-OC396650X44533-2025-03-20</t>
  </si>
  <si>
    <t>E3JNGDZ9G0000-OC315166X42109-2024-09-24</t>
  </si>
  <si>
    <t>E5JNKN9QY0000-OC391760X14309-2025-03-12</t>
  </si>
  <si>
    <t>E5JNKTGMW0000-OC395239X21712-2025-03-19</t>
  </si>
  <si>
    <t>E8PDKJYZK0000-OC385650X48037-2025-03-03</t>
  </si>
  <si>
    <t>EBY2MM0580000-OC393893X4652-2025-03-17</t>
  </si>
  <si>
    <t>EFY2MH37M0000-OC390731X27371-2025-02-21</t>
  </si>
  <si>
    <t>EK37MQJJY0000-OC400166X48654-2025-03-28</t>
  </si>
  <si>
    <t>EPY2M7P120000-OC410395X4290-2025-04-18</t>
  </si>
  <si>
    <t>EQTYMDGWK0000-OC388180X15610-2025-03-06</t>
  </si>
  <si>
    <t>EWY13N5KZ0000-OC90781X2339-2023-03-17</t>
  </si>
  <si>
    <t>EYFDKSS5Y0000-OC394143X45903-2025-03-17</t>
  </si>
  <si>
    <t>EHY2MCS7C0000-OC388305X47056-2025-03-06</t>
  </si>
  <si>
    <t>EFADND8PN0001-OC413589X49034-2025-04-07</t>
  </si>
  <si>
    <t>HUMANA </t>
  </si>
  <si>
    <t>159245054250518 </t>
  </si>
  <si>
    <t>159360094250521 </t>
  </si>
  <si>
    <t>Blue Cross Medicare Advantage</t>
  </si>
  <si>
    <t>25121B1000016937</t>
  </si>
  <si>
    <t>216812X905</t>
  </si>
  <si>
    <t>25125B1000019078</t>
  </si>
  <si>
    <t>Blue Cross Community Options</t>
  </si>
  <si>
    <t>25127B1000058410</t>
  </si>
  <si>
    <t>OC302798X35830 242650BDMC01</t>
  </si>
  <si>
    <t>25132B1000017315</t>
  </si>
  <si>
    <t>293902X459</t>
  </si>
  <si>
    <t>25141B1000021765</t>
  </si>
  <si>
    <t>OC235240X1669 241210ABHZ01</t>
  </si>
  <si>
    <t>25141B1000021970</t>
  </si>
  <si>
    <t>OC230177X33947 241100BLHD01</t>
  </si>
  <si>
    <t>IL MEDICARE </t>
  </si>
  <si>
    <t>800494314 </t>
  </si>
  <si>
    <t>46,816.96 </t>
  </si>
  <si>
    <t>800498552 </t>
  </si>
  <si>
    <t>51,306.75 </t>
  </si>
  <si>
    <t>825135000323746 </t>
  </si>
  <si>
    <t>892513301009004 </t>
  </si>
  <si>
    <t>Blue Cross Blue Shield of Illinois</t>
  </si>
  <si>
    <t>C25121E82631680</t>
  </si>
  <si>
    <t>02022320503990D0X00.OC44780X3520</t>
  </si>
  <si>
    <t>B2</t>
  </si>
  <si>
    <t>C25141E84665760</t>
  </si>
  <si>
    <t>020223185018K860X00.OC38427X9241</t>
  </si>
  <si>
    <t>C25143E84960650</t>
  </si>
  <si>
    <t>02022320508328D0X00.OC46755X10764</t>
  </si>
  <si>
    <t>M25139E44813100</t>
  </si>
  <si>
    <t>NO-PAY-202505030011993</t>
  </si>
  <si>
    <t>NO-PAY-202505040006390</t>
  </si>
  <si>
    <t>NO-PAY-202505170003593</t>
  </si>
  <si>
    <t>NO-PAY-202505230008636</t>
  </si>
  <si>
    <t>T25129E56229470</t>
  </si>
  <si>
    <t>O</t>
  </si>
  <si>
    <t>T25143E56690490</t>
  </si>
  <si>
    <t>T25146E56747630</t>
  </si>
  <si>
    <t>United HealthCare of all states</t>
  </si>
  <si>
    <t>T2782848</t>
  </si>
  <si>
    <t>20220401 SC57808X6312</t>
  </si>
  <si>
    <t>20220408 SC59371X6312</t>
  </si>
  <si>
    <t>20220513 SC67406X6312</t>
  </si>
  <si>
    <t>20220607 SC72101X6312</t>
  </si>
  <si>
    <t>20220718 SC82232X6312</t>
  </si>
  <si>
    <t>20220816 SC88312X6312</t>
  </si>
  <si>
    <t>W321749168</t>
  </si>
  <si>
    <t>20240708 OC269812X10490</t>
  </si>
  <si>
    <t>20240729 OC279042X30262</t>
  </si>
  <si>
    <t>W321903020</t>
  </si>
  <si>
    <t>W323968588</t>
  </si>
  <si>
    <t>20250122 OC377629X21193</t>
  </si>
  <si>
    <t>W324281285</t>
  </si>
  <si>
    <t>W324417916</t>
  </si>
  <si>
    <t>356225X44247</t>
  </si>
  <si>
    <t>OC322234X37900</t>
  </si>
  <si>
    <t>408894X49677</t>
  </si>
  <si>
    <t>Essential Health Partners</t>
  </si>
  <si>
    <t>L6</t>
  </si>
  <si>
    <t>UHC</t>
  </si>
  <si>
    <t>OC367760X25953</t>
  </si>
  <si>
    <t>OC364841X45411</t>
  </si>
  <si>
    <t>OC373750X13876</t>
  </si>
  <si>
    <t>OC374280X16671</t>
  </si>
  <si>
    <t>OC374284X9725</t>
  </si>
  <si>
    <t>OC291140X2341</t>
  </si>
  <si>
    <t>OC373273X18883</t>
  </si>
  <si>
    <t>OC376573X1151</t>
  </si>
  <si>
    <t>OC379589X46466</t>
  </si>
  <si>
    <t>OC385754X6598</t>
  </si>
  <si>
    <t>OC395674X40942</t>
  </si>
  <si>
    <t>OC395675X40942</t>
  </si>
  <si>
    <t>OC373729X35518</t>
  </si>
  <si>
    <t>OC378975X47760</t>
  </si>
  <si>
    <t>OC386989X36917</t>
  </si>
  <si>
    <t>OC367471X33014</t>
  </si>
  <si>
    <t>OC391596X15</t>
  </si>
  <si>
    <t>OC388331X48561</t>
  </si>
  <si>
    <t>ICB18937P41097C42684</t>
  </si>
  <si>
    <t>OC220247X27749</t>
  </si>
  <si>
    <t>OC339088X41758</t>
  </si>
  <si>
    <t>POC320416X4029/820243040460756</t>
  </si>
  <si>
    <t>POC325315X19134/820243102027711</t>
  </si>
  <si>
    <t>POC317719X38567/820243090319248</t>
  </si>
  <si>
    <t>POC324287X40446/820243060396676</t>
  </si>
  <si>
    <t>POC366668X24835/820250290109720</t>
  </si>
  <si>
    <t>POC245020X9270/820241430556508</t>
  </si>
  <si>
    <t>POC351950X43002/820250290109764</t>
  </si>
  <si>
    <t>POC368351X5796/820250310177870</t>
  </si>
  <si>
    <t>POC230578X5630/820241100018014</t>
  </si>
  <si>
    <t>POC290827X34809/820242411995557</t>
  </si>
  <si>
    <t>POC206220X15538/820240530189452</t>
  </si>
  <si>
    <t>POC214026X20804/820240710290766</t>
  </si>
  <si>
    <t>ENFDLP4330000-OC373782X16072-2025-02-06</t>
  </si>
  <si>
    <t>ENY2MN5L80000-OC397970X4573-2025-03-25</t>
  </si>
  <si>
    <t>E1JNFKCC70000-OC292096X26614-2024-08-07</t>
  </si>
  <si>
    <t>EHY2CLJZK0000-OC211702X31277-2024-03-01</t>
  </si>
  <si>
    <t>EQTX862BF0000-OC167271X20670-2023-10-21</t>
  </si>
  <si>
    <t>EZADKX18N0002-OC398291X26441-2025-03-24</t>
  </si>
  <si>
    <t>E7JNHY3N90000-OC349467X40474-2024-12-13</t>
  </si>
  <si>
    <t>ECADLK3DV0000-OC369872X45680-2025-01-13</t>
  </si>
  <si>
    <t>ECTYK4MXY0000-OC359791X44854-2025-01-05</t>
  </si>
  <si>
    <t>ELFDLKDFK0000-OC369344X222-2025-01-24</t>
  </si>
  <si>
    <t>ESFDJTQSP0000-OC368667X222-2025-01-24</t>
  </si>
  <si>
    <t>ECADLMVYP0001-OC370968X222-2025-01-24</t>
  </si>
  <si>
    <t>E4PDKFKX40000-OC383446X7661-2025-02-06</t>
  </si>
  <si>
    <t>1935965 </t>
  </si>
  <si>
    <t>OC408894X49677</t>
  </si>
  <si>
    <t>199413X459</t>
  </si>
  <si>
    <t>254851X9196</t>
  </si>
  <si>
    <t>265656X8649</t>
  </si>
  <si>
    <t>OC235514X11322 241230AGSJ01</t>
  </si>
  <si>
    <t>OC227887X33947 2410700YXK01</t>
  </si>
  <si>
    <t>800502501 </t>
  </si>
  <si>
    <t xml:space="preserve">OC367471X33014   9825090351057 </t>
  </si>
  <si>
    <t>OC391596X15  9825092351002</t>
  </si>
  <si>
    <t>02023160503220H0X00.OC112856X20545</t>
  </si>
  <si>
    <t>C25122E82795310</t>
  </si>
  <si>
    <t>########</t>
  </si>
  <si>
    <t>020242075067J800X00.OC274875X31015</t>
  </si>
  <si>
    <t>C25122N13994770</t>
  </si>
  <si>
    <t>C5</t>
  </si>
  <si>
    <t>02024270502Z1340X00.OC306520X31015</t>
  </si>
  <si>
    <t>C25125E82959300</t>
  </si>
  <si>
    <t>020230315057K540X.OC70393X12761</t>
  </si>
  <si>
    <t>020230655041P070X.OC80647X15522</t>
  </si>
  <si>
    <t>02023227504L0080X.OC136682X516</t>
  </si>
  <si>
    <t>02024207502583B0X.OC244937X31099</t>
  </si>
  <si>
    <t>0202432650N94120X.OC334319X43148</t>
  </si>
  <si>
    <t>C25125E82959310</t>
  </si>
  <si>
    <t>0202404350736S60X.OC201873X31545</t>
  </si>
  <si>
    <t>02024247504350E0X.OC293756X14289</t>
  </si>
  <si>
    <t>02024277507811P0X.OC310254X18883</t>
  </si>
  <si>
    <t>0202428550400C30X.OC313879X18883</t>
  </si>
  <si>
    <t>0202428550996B80X.OC313944X18883</t>
  </si>
  <si>
    <t>02024302500S5250X.OC321967X18883</t>
  </si>
  <si>
    <t>02025085503E7280X00.OC394740X42818</t>
  </si>
  <si>
    <t>C25126E83091970</t>
  </si>
  <si>
    <t>0202303350354T90X.OC71204X12456</t>
  </si>
  <si>
    <t>0202324050246C20X.OC142278X516</t>
  </si>
  <si>
    <t>0202331050K95290X.OC167387X26134</t>
  </si>
  <si>
    <t>0202423550Y34620X.OC288097X17640</t>
  </si>
  <si>
    <t>020250695049K980X00.OC386837X8092</t>
  </si>
  <si>
    <t>C25126E83091980</t>
  </si>
  <si>
    <t>0202404350913T50X.OC201953X31494</t>
  </si>
  <si>
    <t>02024277501333P0X.OC310246X18883</t>
  </si>
  <si>
    <t>0202428550120C40X.OC313888X18883</t>
  </si>
  <si>
    <t>02024289506J8100X.OC315116X18883</t>
  </si>
  <si>
    <t>0202429150573U30X.OC315728X18883</t>
  </si>
  <si>
    <t>0202429950Z38180X.OC320822X18883</t>
  </si>
  <si>
    <t>0202429950Z87680X.OC320785X18883</t>
  </si>
  <si>
    <t>C25127E83221500</t>
  </si>
  <si>
    <t>02023187503A7580X00.OC122906X20971</t>
  </si>
  <si>
    <t>C25128E83352570</t>
  </si>
  <si>
    <t>0202505950C74900X01.OC382534X45918</t>
  </si>
  <si>
    <t>C25129N14406990</t>
  </si>
  <si>
    <t>02024243508436B0X01.OC293422X31015</t>
  </si>
  <si>
    <t>C25132E83683130</t>
  </si>
  <si>
    <t>02025085503E9900X00.OC394784X44974</t>
  </si>
  <si>
    <t>C25133E83816870</t>
  </si>
  <si>
    <t>0202320250D83350X00.OC126997X11061</t>
  </si>
  <si>
    <t>C25134983316190</t>
  </si>
  <si>
    <t>8.0202505757425D70X00.OC368012X30</t>
  </si>
  <si>
    <t>C25134E83946730</t>
  </si>
  <si>
    <t>02024017505S1380X02.OC222709X516</t>
  </si>
  <si>
    <t>02025042501696X0X00.OC372694X37427</t>
  </si>
  <si>
    <t>C25134E83946740 </t>
  </si>
  <si>
    <t>$7,693.26 </t>
  </si>
  <si>
    <t>020250455080K620X01.OC374507X45567</t>
  </si>
  <si>
    <t>C25135E84085470</t>
  </si>
  <si>
    <t>02023157505995W0X00.OC111663X4653</t>
  </si>
  <si>
    <t>02024050505U1360X00.OC196806X4653</t>
  </si>
  <si>
    <t>C25136E84244450</t>
  </si>
  <si>
    <t>0202233550D02840X02.OC51703X9399</t>
  </si>
  <si>
    <t>0202505950C81920X00.OC383370X45832</t>
  </si>
  <si>
    <t>C25139E84401270</t>
  </si>
  <si>
    <t>02025008504987H0X00.OC356701X42589</t>
  </si>
  <si>
    <t>C25140E84532400</t>
  </si>
  <si>
    <t>02023026501U8230X.OC67735X11469</t>
  </si>
  <si>
    <t>020230315056K540X.OC70362X11469</t>
  </si>
  <si>
    <t>0202305850905U30X.OC78836X10895</t>
  </si>
  <si>
    <t>0202306750420W20X.OC80750X10895</t>
  </si>
  <si>
    <t>0202306750801W60X.OC78562X16580</t>
  </si>
  <si>
    <t>0202306954557430X.OC83379X11765</t>
  </si>
  <si>
    <t>020232965029E630X.OC162648X3647</t>
  </si>
  <si>
    <t>020233215008W190X.OC172080X26134</t>
  </si>
  <si>
    <t>0202334150B88930X.OC179355X26134</t>
  </si>
  <si>
    <t>0202335550929A30X.OC184618X26134</t>
  </si>
  <si>
    <t>0202401650395U70X.OC192175X26134</t>
  </si>
  <si>
    <t>0202403050Q85530X.OC197887X26134</t>
  </si>
  <si>
    <t>0202403250711G60X.OC198961X28661</t>
  </si>
  <si>
    <t>02024037507985N0X.OC200285X516</t>
  </si>
  <si>
    <t>020240455086D960X.OC203511X26134</t>
  </si>
  <si>
    <t>0202417250L32030X.OC258463X21073</t>
  </si>
  <si>
    <t>02024184505J3080X.OC265455X21328</t>
  </si>
  <si>
    <t>0202422250Q30330X.OC282145X31952</t>
  </si>
  <si>
    <t>02024355507270C0X.OC349813X43067</t>
  </si>
  <si>
    <t>0202500623016770C.OC337875X9699</t>
  </si>
  <si>
    <t>C25140E84532410</t>
  </si>
  <si>
    <t>0202434850E50460X.OC345748X27220</t>
  </si>
  <si>
    <t>0202436150U26450X.OC351895X8671</t>
  </si>
  <si>
    <t>0202500750278Q70X.OC356434X8671</t>
  </si>
  <si>
    <t>C25142E84800040</t>
  </si>
  <si>
    <t>02023270502U5940X00.OC151817X2118</t>
  </si>
  <si>
    <t>020250455086N170X00.OC374347X46862</t>
  </si>
  <si>
    <t>0202506250P72190X00.OC383783X34830</t>
  </si>
  <si>
    <t>C25143E84960660</t>
  </si>
  <si>
    <t>020250725025Y470X00.OC388436X44217</t>
  </si>
  <si>
    <t>C25147E85158050</t>
  </si>
  <si>
    <t>0202503650245Z70X00.OC370265X42383</t>
  </si>
  <si>
    <t>0202508050T37600X00.OC393003X17641</t>
  </si>
  <si>
    <t>C25147E85158060</t>
  </si>
  <si>
    <t>02024260505484V0X00.OC300185X36267</t>
  </si>
  <si>
    <t>0202506050210G50X00.OC383874X26902</t>
  </si>
  <si>
    <t>0202506250P23120X00.OC383610X47993</t>
  </si>
  <si>
    <t>0202507750886J40X01.OC390717X16089</t>
  </si>
  <si>
    <t>02025126507438X0X00.OC416146X50115</t>
  </si>
  <si>
    <t>0202513950X30020X00.OC422822X5488</t>
  </si>
  <si>
    <t>C25147N15286230</t>
  </si>
  <si>
    <t>02024326509897G0X01.OC334437X8534</t>
  </si>
  <si>
    <t>C25148E85301990</t>
  </si>
  <si>
    <t>02024050505U1360X01.OC196806X4653</t>
  </si>
  <si>
    <t>C25148E85302000</t>
  </si>
  <si>
    <t>02025078500Z6580X00.OC391950X30831</t>
  </si>
  <si>
    <t>C25149N15468730</t>
  </si>
  <si>
    <t>0202504250L42730X00.OC373062X25387</t>
  </si>
  <si>
    <t>POC147780X3353/820232580006807</t>
  </si>
  <si>
    <t>SW16415215</t>
  </si>
  <si>
    <t>20240104 OC190540X19316</t>
  </si>
  <si>
    <t>T2149268</t>
  </si>
  <si>
    <t>20240514 OC245701X31838</t>
  </si>
  <si>
    <t>T25122E55990730</t>
  </si>
  <si>
    <t>OC357627X27926 250430BPCE02</t>
  </si>
  <si>
    <t>T25122E55996190</t>
  </si>
  <si>
    <t>OC384263X25807 250630BELF01</t>
  </si>
  <si>
    <t>T25127E56158960</t>
  </si>
  <si>
    <t>OC409054X45980 251140BVET01</t>
  </si>
  <si>
    <t>T25127E56165200</t>
  </si>
  <si>
    <t>OC236901X28246 241230ABKY01</t>
  </si>
  <si>
    <t>T25132E56280880</t>
  </si>
  <si>
    <t>OC386938X32520 250700BHYK01</t>
  </si>
  <si>
    <t>OC389991X14187 2507400Y0F01</t>
  </si>
  <si>
    <t>T25134E56378450</t>
  </si>
  <si>
    <t>OC227863X33581 241070AFHJ01</t>
  </si>
  <si>
    <t>OC229890X33947 241100BLHH01</t>
  </si>
  <si>
    <t>OC229951X33947 241100BLHM01</t>
  </si>
  <si>
    <t>OC230070X34223 241100CFQ001</t>
  </si>
  <si>
    <t>OC230162X33947 241100BQTJ01</t>
  </si>
  <si>
    <t>OC230204X34223 241100AMJ001</t>
  </si>
  <si>
    <t>OC230248X34223 2411000FSX01</t>
  </si>
  <si>
    <t>OC235239X1669 241210BADB01</t>
  </si>
  <si>
    <t>OC236980X1669 241230AEPE01</t>
  </si>
  <si>
    <t>T25146E56784490</t>
  </si>
  <si>
    <t>OC376765X22660 2322300JDK18</t>
  </si>
  <si>
    <t>20241126 OC340260X4041</t>
  </si>
  <si>
    <t>T3319653</t>
  </si>
  <si>
    <t>20250219 OC380467X1620</t>
  </si>
  <si>
    <t>T3447956</t>
  </si>
  <si>
    <t>20250115 OC362636X41954</t>
  </si>
  <si>
    <t>20250128 OC371590X13996</t>
  </si>
  <si>
    <t>20240416 OC229738X13996</t>
  </si>
  <si>
    <t>20240711 OC271243X13996</t>
  </si>
  <si>
    <t>20240712 OC271244X13996</t>
  </si>
  <si>
    <t>Remarks</t>
  </si>
  <si>
    <t>Updated</t>
  </si>
  <si>
    <t>TRACKERSTATUS</t>
  </si>
  <si>
    <t>UPDATED</t>
  </si>
  <si>
    <t>Total</t>
  </si>
  <si>
    <t>Blue Cross Blue Shield of Illinois </t>
  </si>
  <si>
    <t>C25121N13907000</t>
  </si>
  <si>
    <t>8.0202427550419A90X00.SI406808X80371</t>
  </si>
  <si>
    <t>8.02024276503U5180X00.SI408279X56181</t>
  </si>
  <si>
    <t>AETNA </t>
  </si>
  <si>
    <t>ERFDMT7MS0000-SI514713X7825-2025-03-28</t>
  </si>
  <si>
    <t>C25120E82502860</t>
  </si>
  <si>
    <t>8.0202429950T62220X00.SI416408X65332</t>
  </si>
  <si>
    <t>C25120E82502810</t>
  </si>
  <si>
    <t>02023157508821X0X00.SI154082X54061</t>
  </si>
  <si>
    <t>C25122N13995150</t>
  </si>
  <si>
    <t>020242825021S320X00.SI411365X77148</t>
  </si>
  <si>
    <t>0202427550778J80X00.SI407224X49252</t>
  </si>
  <si>
    <t>02024249508V5450X00.SI390515X13463</t>
  </si>
  <si>
    <t>8.020242825021S320X00.SI411365X77148</t>
  </si>
  <si>
    <t>8.0202429150020N10X00.SI416997X76313</t>
  </si>
  <si>
    <t>8.02024276507T6130X00.SI408169X83513</t>
  </si>
  <si>
    <t>8.0202427550778J80X00.SI407224X49252</t>
  </si>
  <si>
    <t>8.02024249508V5450X00.SI390515X13463</t>
  </si>
  <si>
    <t>$19,839.75 </t>
  </si>
  <si>
    <t>SI468165X67182</t>
  </si>
  <si>
    <t>W321404494</t>
  </si>
  <si>
    <t>20250408 SI519458X50532</t>
  </si>
  <si>
    <t>EGJNMKRFJ0000-SI506986X50288-2025-03-14</t>
  </si>
  <si>
    <t>C25125N14070880</t>
  </si>
  <si>
    <t>8.0202427050K92710X00.SI403774X31057</t>
  </si>
  <si>
    <t>C25125N14070870</t>
  </si>
  <si>
    <t>8.0202427850569T70X00.SI409672X92980</t>
  </si>
  <si>
    <t>8.0202427850753T30X00.SI409671X92980</t>
  </si>
  <si>
    <t>8.020242985026N520X00.SI421664X93306</t>
  </si>
  <si>
    <t>8.02024297509100B0X00.SI422028X16943</t>
  </si>
  <si>
    <t>25125B1000042652</t>
  </si>
  <si>
    <t>SI416394X89722 242900AEVX01</t>
  </si>
  <si>
    <t>EZADJVVSG0000-SI483318X74577-2025-02-05</t>
  </si>
  <si>
    <t>EQADMYP490000-SI516460X28981-2025-04-01</t>
  </si>
  <si>
    <t>E9RWKHWZ70001-SI509912X81848-2025-03-18</t>
  </si>
  <si>
    <t>C25122E82797700</t>
  </si>
  <si>
    <t>02024274505320T0X00.SI405405X20996</t>
  </si>
  <si>
    <t>C25122E82797650</t>
  </si>
  <si>
    <t> $37,270.99</t>
  </si>
  <si>
    <t>02025007509A0040X01.SI463188X24724</t>
  </si>
  <si>
    <t>0202412750203P90X00.SI308637X77604</t>
  </si>
  <si>
    <t>02025008507712H0X00.SI464370X88039</t>
  </si>
  <si>
    <t>C25122E82797660</t>
  </si>
  <si>
    <t>0202502950Z05730X01.SI476177X28103</t>
  </si>
  <si>
    <t>C25126N14144820</t>
  </si>
  <si>
    <t>8.02024032504Y9700X01.SI259868X7672</t>
  </si>
  <si>
    <t>8.0202431950K04230X00.SI433615X15452</t>
  </si>
  <si>
    <t>8.0202427750K86720X00.SI408803X49618</t>
  </si>
  <si>
    <t>8.02024312505508N0X00.SI428536X17136</t>
  </si>
  <si>
    <t>8.02024313505E3200X01.SI430450X95485</t>
  </si>
  <si>
    <t>8.02024313506E8430X01.SI430448X95485</t>
  </si>
  <si>
    <t>8.02024313507C6970X01.SI430451X95485</t>
  </si>
  <si>
    <t>8.0202427550005C70X00.SI407422X66768</t>
  </si>
  <si>
    <t>8.02024312509340L0X00.SI425405X14355</t>
  </si>
  <si>
    <t>8.0202431050T99050X00.SI428325X55473</t>
  </si>
  <si>
    <t>8.02024313506E8100X00.SI430646X14559</t>
  </si>
  <si>
    <t>8.0202430650V75990X00.SI426700X35583</t>
  </si>
  <si>
    <t>8.02024316500K4150X00.SI431680X165</t>
  </si>
  <si>
    <t>8.0202431750K45880X00.SI432558X44334</t>
  </si>
  <si>
    <t>8.0202431950H93850X00.SI433705X65147</t>
  </si>
  <si>
    <t>8.0202431750K51490X00.SI432692X39874</t>
  </si>
  <si>
    <t>8.02024316500K0160X00.SI431350X41041</t>
  </si>
  <si>
    <t>8.0202430650Y77270X00.SI426560X79269</t>
  </si>
  <si>
    <t>8.0202431350094C70X00.SI429422X5964</t>
  </si>
  <si>
    <t>8.02024318508920A0X00.SI433230X6472</t>
  </si>
  <si>
    <t>8.02024309501U8730X00.SI427327X94887</t>
  </si>
  <si>
    <t>8.020243125015Z970X00.SI429974X6904</t>
  </si>
  <si>
    <t>8.02024309500U1200X00.SI427496X3048</t>
  </si>
  <si>
    <t>8.02024312507407N0X00.SI429348X7442</t>
  </si>
  <si>
    <t>8.02024313504E8500X00.SI430573X83628</t>
  </si>
  <si>
    <t>8.0202431050T94160X00.SI428369X58532</t>
  </si>
  <si>
    <t>8.02024316503K2920X00.SI431904X95342</t>
  </si>
  <si>
    <t>8.0202431050U21820X00.SI428219X651</t>
  </si>
  <si>
    <t>8.02024316509J4330X00.SI431802X95143</t>
  </si>
  <si>
    <t>8.02024312503285N0X00.SI429190X1762</t>
  </si>
  <si>
    <t>8.02024316509J8700X00.SI431874X568</t>
  </si>
  <si>
    <t>8.0202429150139Y20X00.SI417303X35315</t>
  </si>
  <si>
    <t>8.02024309504U5600X00.SI427580X31826</t>
  </si>
  <si>
    <t>C25126N14144870</t>
  </si>
  <si>
    <t>8.02024312503658N0X00.SI429168X95090</t>
  </si>
  <si>
    <t>Blue Cross Medicare Advantage </t>
  </si>
  <si>
    <t>M25125E44290010</t>
  </si>
  <si>
    <t> $7,012.70</t>
  </si>
  <si>
    <t>SI520168X84648</t>
  </si>
  <si>
    <t>M25125E44281590</t>
  </si>
  <si>
    <t>SI449470X52984</t>
  </si>
  <si>
    <t>$35,456.51 </t>
  </si>
  <si>
    <t>SI375520X20659</t>
  </si>
  <si>
    <t>SI381516X20659</t>
  </si>
  <si>
    <t>C25125E82961180</t>
  </si>
  <si>
    <t> $15,732.89</t>
  </si>
  <si>
    <t>0202504250L33710X01.SI453539X56950</t>
  </si>
  <si>
    <t>C25125E82961170</t>
  </si>
  <si>
    <t>02024337502390P0X01.SI443947X36508</t>
  </si>
  <si>
    <t>02025024506869A0X00.SI474052X25026</t>
  </si>
  <si>
    <t>02025041507V5660X00.SI483338X34835</t>
  </si>
  <si>
    <t>02025041509U9780X00.SI483154X25026</t>
  </si>
  <si>
    <t>C25127N14247440</t>
  </si>
  <si>
    <t>8.02024032509Y8850X01.SI256897X8994</t>
  </si>
  <si>
    <t>8.02024313506E2300X00.SI430846X56593</t>
  </si>
  <si>
    <t>8.0202430650Y55900X00.SI426857X30299</t>
  </si>
  <si>
    <t>8.02024316500K3810X00.SI431376X23483</t>
  </si>
  <si>
    <t>8.02024312501406N0X00.SI428903X93610</t>
  </si>
  <si>
    <t>8.02024312506070N0X00.SI428904X93610</t>
  </si>
  <si>
    <t>8.02024312508076L0X00.SI428907X93610</t>
  </si>
  <si>
    <t>8.0202431950H87610X00.SI433883X93610</t>
  </si>
  <si>
    <t>8.0202431950J89260X00.SI433884X93610</t>
  </si>
  <si>
    <t>8.0202431350895B00X00.SI429952X89822</t>
  </si>
  <si>
    <t>8.02024312509702L0X00.SI428636X93520</t>
  </si>
  <si>
    <t>8.02024312503443N0X00.SI429117X95057</t>
  </si>
  <si>
    <t>8.0202431750K70560X00.SI432221X23240</t>
  </si>
  <si>
    <t>8.02024264507987P0X00.SI399002X22960</t>
  </si>
  <si>
    <t>8.0202430650V97690X00.SI426729X45940</t>
  </si>
  <si>
    <t>8.020242895002C240X00.SI416530X4457</t>
  </si>
  <si>
    <t>8.02024313504E7350X00.SI430553X63598</t>
  </si>
  <si>
    <t>8.02024316501K9730X00.SI431658X76442</t>
  </si>
  <si>
    <t>SI518274X20756</t>
  </si>
  <si>
    <t>C25126E83094020</t>
  </si>
  <si>
    <t> $37,416.16</t>
  </si>
  <si>
    <t>0202407550833Y30X00.SI283489X27050</t>
  </si>
  <si>
    <t>02025059504523P0X00.SI485780X101602</t>
  </si>
  <si>
    <t>C25126E83094170</t>
  </si>
  <si>
    <t> $29.45</t>
  </si>
  <si>
    <t>8.0202431050T91040X00.SI428419X62916</t>
  </si>
  <si>
    <t>8.02024312503342N0X00.SI428905X93610</t>
  </si>
  <si>
    <t>8.0202430650Y73700X00.SI426069X47486</t>
  </si>
  <si>
    <t>8.0202431350880B10X00.SI430010X55009</t>
  </si>
  <si>
    <t>8.02024312507064L0X00.SI424793X15582</t>
  </si>
  <si>
    <t>8.0202427850502T00X00.SI409036X71385</t>
  </si>
  <si>
    <t>8.020242825069Q980X00.SI411691X13463</t>
  </si>
  <si>
    <t>8.020242625048H720X00.SI397769X2021</t>
  </si>
  <si>
    <t>C25128N14313250</t>
  </si>
  <si>
    <t>8.02024312501942Q0X00.SI429211X75492</t>
  </si>
  <si>
    <t>8.0202431154800330X00.SI424324X94522</t>
  </si>
  <si>
    <t>8.0202431154800340X00.SI424325X94522</t>
  </si>
  <si>
    <t>8.020242895018C620X00.SI416536X14078</t>
  </si>
  <si>
    <t>C25128N14313260</t>
  </si>
  <si>
    <t>0202428150438Z20X00.SI409999X31018</t>
  </si>
  <si>
    <t>0202426150725X40X01.SI396563X18762</t>
  </si>
  <si>
    <t>0202427050V17930X00.SI399175X24876</t>
  </si>
  <si>
    <t>0202427150056Y60X00.SI404500X73419</t>
  </si>
  <si>
    <t>8.0202428150438Z20X00.SI409999X31018</t>
  </si>
  <si>
    <t>8.0202426150725X40X01.SI396563X18762</t>
  </si>
  <si>
    <t>8.0202427050V17930X00.SI399175X24876</t>
  </si>
  <si>
    <t>8.0202427150056Y60X00.SI404500X73419</t>
  </si>
  <si>
    <t>PSI498280X77409/820250640153165</t>
  </si>
  <si>
    <t>PSI482318X24239/820250420196950</t>
  </si>
  <si>
    <t>NO-PAY-202505080003219</t>
  </si>
  <si>
    <t>PSI481804X101823/820250370675543</t>
  </si>
  <si>
    <t>PSI473635X10119/820250241669781</t>
  </si>
  <si>
    <t>C25127E83223640</t>
  </si>
  <si>
    <t>0202430650Y77230X00.SI426947X66322</t>
  </si>
  <si>
    <t>C25129N14407290</t>
  </si>
  <si>
    <t>8.020242955043A080X00.SI419871X43642</t>
  </si>
  <si>
    <t>25129B1000019283</t>
  </si>
  <si>
    <t>J1</t>
  </si>
  <si>
    <t>SI449844X95484</t>
  </si>
  <si>
    <t>C25128E83354550</t>
  </si>
  <si>
    <t>$21,708.93 </t>
  </si>
  <si>
    <t>02025007503B8110X01.SI463196X79728</t>
  </si>
  <si>
    <t>020242755007Z660X01.SI396338X53327</t>
  </si>
  <si>
    <t>25132B1000047274</t>
  </si>
  <si>
    <t>$27,713.62 </t>
  </si>
  <si>
    <t>SI520367X31778</t>
  </si>
  <si>
    <t>T2618659</t>
  </si>
  <si>
    <t>20241230 SI463366X18650</t>
  </si>
  <si>
    <t>20241227 SI463367X18650</t>
  </si>
  <si>
    <t>20241228 SI463368X18650</t>
  </si>
  <si>
    <t>20241229 SI463369X18650</t>
  </si>
  <si>
    <t>20250101 SI463370X18650</t>
  </si>
  <si>
    <t>20241231 SI468888X18650</t>
  </si>
  <si>
    <t>20250102 SI468887X18650</t>
  </si>
  <si>
    <t>EFFDL4H4J0000-SI494970X77897-2025-02-24</t>
  </si>
  <si>
    <t>ETTYHM5VJ0000-SI445525X5536-2024-11-30</t>
  </si>
  <si>
    <t>C25129E83518710</t>
  </si>
  <si>
    <t>$50.00 </t>
  </si>
  <si>
    <t>02024226500515U0X.SI375647X15658</t>
  </si>
  <si>
    <t>02024296502D3620X00.SI420751X38133</t>
  </si>
  <si>
    <t>8.02024296502D3620X00.SI420751X38133</t>
  </si>
  <si>
    <t>8.02024302501X9140X00.SI424388X46573</t>
  </si>
  <si>
    <t>8.02024257501712V0X00.SI394103X59553</t>
  </si>
  <si>
    <t>8.02024316501L0150X00.SI431889X95322</t>
  </si>
  <si>
    <t>8.02024318503226B0X00.SI316383X79413</t>
  </si>
  <si>
    <t>8.020243265087Q490X00.SI316382X79413</t>
  </si>
  <si>
    <t>8.020242925032G160X00.SI418348X89929</t>
  </si>
  <si>
    <t>C25129E83518630</t>
  </si>
  <si>
    <t>02025080500H9260X00.SI507649X3849</t>
  </si>
  <si>
    <t>C25133N14546310</t>
  </si>
  <si>
    <t>020243125029Z310X00.SI429973X49271</t>
  </si>
  <si>
    <t>8.0202427550009N80X00.SI407377X20942</t>
  </si>
  <si>
    <t>8.0202510150504A30X00.SI517810X27152</t>
  </si>
  <si>
    <t>8.02024318503516B0X00.SI433125X53329</t>
  </si>
  <si>
    <t>8.02024313501D5680X00.SI430607X32406</t>
  </si>
  <si>
    <t>8.020243125029Z310X00.SI429973X49271</t>
  </si>
  <si>
    <t>E2Y2KPYWY0001-SI505569X102068-2025-03-04</t>
  </si>
  <si>
    <t>ESPDK9KR10000-SI521465X10494-2025-04-11</t>
  </si>
  <si>
    <t>C25132E83685480</t>
  </si>
  <si>
    <t>0202429750791X70X00.SI421153X82800</t>
  </si>
  <si>
    <t>8.020243445087D600X00.SI447262X66543</t>
  </si>
  <si>
    <t>8.0202429750846X50X00.SI415594X82800</t>
  </si>
  <si>
    <t>8.0202433850T81930X00.SI444117X36068</t>
  </si>
  <si>
    <t>8.020243375097Y120X00.SI443351X96690</t>
  </si>
  <si>
    <t>8.02024339500724H0X00.SI445149X16966</t>
  </si>
  <si>
    <t>8.020243445089D160X00.SI447602X34019</t>
  </si>
  <si>
    <t>C25132E83685470</t>
  </si>
  <si>
    <t>02024228506B6500X.SI376950X69617</t>
  </si>
  <si>
    <t>0202427550131A30X00.SI407285X16020</t>
  </si>
  <si>
    <t>0202427550342A80X00.SI407049X38519</t>
  </si>
  <si>
    <t>8.020242925044S670X00.SI418360X71661</t>
  </si>
  <si>
    <t>8.02024312500220Q0X00.SI429119X88522</t>
  </si>
  <si>
    <t>8.0202423250T55630X01.SI367243X86641</t>
  </si>
  <si>
    <t>8.020243125038Z540X00.SI427563X87792</t>
  </si>
  <si>
    <t>8.0202427750K70270X00.SI408804X9662</t>
  </si>
  <si>
    <t>8.02024309505U9680X00.SI427505X45894</t>
  </si>
  <si>
    <t>C25134N14646510</t>
  </si>
  <si>
    <t>02024274504002V0X00.SI406251X67844</t>
  </si>
  <si>
    <t>8.0202428850444S70X00.SI415532X61210</t>
  </si>
  <si>
    <t>8.0202429754733220X00.SI420613X94305</t>
  </si>
  <si>
    <t>8.02024274504002V0X00.SI406251X67844</t>
  </si>
  <si>
    <t>PSI411864X54545/820242950243870</t>
  </si>
  <si>
    <t>SI369322X20659</t>
  </si>
  <si>
    <t>T2752275</t>
  </si>
  <si>
    <t> $5,090.81</t>
  </si>
  <si>
    <t>20230413 SI134272X28077</t>
  </si>
  <si>
    <t>20230502 SI142298X28077</t>
  </si>
  <si>
    <t>20230530 SI153462X28077</t>
  </si>
  <si>
    <t>C25133E83818960</t>
  </si>
  <si>
    <t>0202504450A14090X00.SI485466X76163</t>
  </si>
  <si>
    <t>0202504450A25670X00.SI485469X76928</t>
  </si>
  <si>
    <t>0202509750728Y80X00.SI505769X102055</t>
  </si>
  <si>
    <t>C25135N14713480</t>
  </si>
  <si>
    <t>0202431750L28320X00.SI432580X88086</t>
  </si>
  <si>
    <t>$25,717.58 </t>
  </si>
  <si>
    <t>SI228068X66238</t>
  </si>
  <si>
    <t>EMJNNFHVN0001-SI532202X92246-2025-04-12</t>
  </si>
  <si>
    <t>C25134E83948810</t>
  </si>
  <si>
    <t>020250385061S040X00.SI482661X76928</t>
  </si>
  <si>
    <t>C25134E83948800</t>
  </si>
  <si>
    <t>020213265051W500X01.SP531650X4373</t>
  </si>
  <si>
    <t>C25136N14806820</t>
  </si>
  <si>
    <t>02024271506262E0X00.SI404086X91202</t>
  </si>
  <si>
    <t>0202428854685020X00.SI409432X92986</t>
  </si>
  <si>
    <t>8.0202428854685020X00.SI409432X92986</t>
  </si>
  <si>
    <t>8.02024283509N2990X00.SI412654X59249</t>
  </si>
  <si>
    <t>8.02024309502U5320X00.SI427643X13304</t>
  </si>
  <si>
    <t>25136B1000019674</t>
  </si>
  <si>
    <t>SI314258X79113 241220AFAK01</t>
  </si>
  <si>
    <t>W322868904</t>
  </si>
  <si>
    <t>20250211 SI484493X101666</t>
  </si>
  <si>
    <t>W322868893</t>
  </si>
  <si>
    <t>20241120 SI441164X96288</t>
  </si>
  <si>
    <t>20250408 SI526017X78016</t>
  </si>
  <si>
    <t> $4,016.35</t>
  </si>
  <si>
    <t>PSI501252X104018/820250700126260</t>
  </si>
  <si>
    <t>C25135E84087900</t>
  </si>
  <si>
    <t>8.02024309504U2180X00.SI427112X65929</t>
  </si>
  <si>
    <t>C25135E84087790</t>
  </si>
  <si>
    <t> $26,987.15</t>
  </si>
  <si>
    <t>02022294504H7490X00.SI47486X28135</t>
  </si>
  <si>
    <t>02021127501471G0X00.SP462500X71718</t>
  </si>
  <si>
    <t>02025111505T5200X00.SI514827X63158</t>
  </si>
  <si>
    <t>02025069501T1530X00.SI500849X44151</t>
  </si>
  <si>
    <t>C25139N14872570</t>
  </si>
  <si>
    <t>8.02024332500933F0X00.SI441363X96298</t>
  </si>
  <si>
    <t>E537HLHT30000-SI445526X3093-2024-11-30</t>
  </si>
  <si>
    <t>C25136E84246690</t>
  </si>
  <si>
    <t>$15,731.36 </t>
  </si>
  <si>
    <t>0202316050533P10X00.SI155488X19529</t>
  </si>
  <si>
    <t>C25140N14942180</t>
  </si>
  <si>
    <t>020243045091W150X01.SI425918X77388</t>
  </si>
  <si>
    <t>8.0202433150K14580X00.SI440746X14376</t>
  </si>
  <si>
    <t>8.020243045091W150X01.SI425918X77388</t>
  </si>
  <si>
    <t>8.020242895079B290X00.SI417125X6968</t>
  </si>
  <si>
    <t>8.0202429150361W10X00.SI417363X93706</t>
  </si>
  <si>
    <t>8.02024318500702B0X00.SI433159X78189</t>
  </si>
  <si>
    <t>8.0202430650Z09330X00.SI426866X9815</t>
  </si>
  <si>
    <t>T25139E56541390</t>
  </si>
  <si>
    <t> $766.97</t>
  </si>
  <si>
    <t>$36,845.60 </t>
  </si>
  <si>
    <t>-</t>
  </si>
  <si>
    <t>SI462337X53020</t>
  </si>
  <si>
    <t>SI445210X95488</t>
  </si>
  <si>
    <t>SI430393X95488</t>
  </si>
  <si>
    <t>C25139E84403320</t>
  </si>
  <si>
    <t>02023256505Q0930X.SI193811X61497</t>
  </si>
  <si>
    <t>02025008505999D0X.SI449454X46778</t>
  </si>
  <si>
    <t>02025008509728G0X.SI449455X46778</t>
  </si>
  <si>
    <t>02022258506Z7240X.SI36452X18314</t>
  </si>
  <si>
    <t>0202433850U37140X.SI444289X27172</t>
  </si>
  <si>
    <t>0202501650245D90X.SI467938X59800</t>
  </si>
  <si>
    <t>020241625043F740X.SI331196X71234</t>
  </si>
  <si>
    <t>0202500350702A00X.SI461931X41337</t>
  </si>
  <si>
    <t>02024257500790V0X.SI395123X45644</t>
  </si>
  <si>
    <t>020232755094X790X.SI204200X25053</t>
  </si>
  <si>
    <t>02023041508904Q0X.SI101682X31342</t>
  </si>
  <si>
    <t>020242415711T870X.SI374192X54876</t>
  </si>
  <si>
    <t>02023157506262W0X.SI152662X54047</t>
  </si>
  <si>
    <t>0202336150856A80X00.SI247224X63158</t>
  </si>
  <si>
    <t>02024116505C7720X.SI304095X8390</t>
  </si>
  <si>
    <t>02024316502K9940X.SI431647X1429</t>
  </si>
  <si>
    <t>02025006508123T0X.SI463005X98275</t>
  </si>
  <si>
    <t>SI430395X95488</t>
  </si>
  <si>
    <t>SI430394X95488</t>
  </si>
  <si>
    <t>SI434873X95488</t>
  </si>
  <si>
    <t>W323287058</t>
  </si>
  <si>
    <t>20250114 SI471016X83542</t>
  </si>
  <si>
    <t>C25140E84534550</t>
  </si>
  <si>
    <t>02024233503700D0X.SI378945X87467</t>
  </si>
  <si>
    <t>0202423550Z37040X.SI380669X59558</t>
  </si>
  <si>
    <t>0202423550Z48880X.SI381091X59157</t>
  </si>
  <si>
    <t>8.02024296502D8240X00.SI420478X53005</t>
  </si>
  <si>
    <t>C25140E84534490</t>
  </si>
  <si>
    <t>0202507390002350C01.SI384899X89831</t>
  </si>
  <si>
    <t>W323449306</t>
  </si>
  <si>
    <t>C25148E85304090</t>
  </si>
  <si>
    <t>020241835059Q860X00.SI347904X76163</t>
  </si>
  <si>
    <t>C25148E85304130</t>
  </si>
  <si>
    <t>02024236500796S0X.SI381954X74479</t>
  </si>
  <si>
    <t>8.020242625053H870X00.SI397346X10219</t>
  </si>
  <si>
    <t>8.02024257501208U0X00.SI394084X52997</t>
  </si>
  <si>
    <t>8.02024284504586W0X00.SI413551X77419</t>
  </si>
  <si>
    <t>C25148E85304080 </t>
  </si>
  <si>
    <t> $29,290.62</t>
  </si>
  <si>
    <t>0202507150728F40X00.SI501621X49271</t>
  </si>
  <si>
    <t>HealthSpring </t>
  </si>
  <si>
    <t> $259.60</t>
  </si>
  <si>
    <t>25143B100001121500</t>
  </si>
  <si>
    <t> 5/29/2025</t>
  </si>
  <si>
    <t>C25147E85160510</t>
  </si>
  <si>
    <t>02025070504076V0X00.SI501200X94189</t>
  </si>
  <si>
    <t>C25147E85160500 </t>
  </si>
  <si>
    <t>02025115501J3310X00.SI527008X35941</t>
  </si>
  <si>
    <t>0202435850410E70X01.SI455908X70576</t>
  </si>
  <si>
    <t>25149B1000007533 </t>
  </si>
  <si>
    <t>SI537350X86630</t>
  </si>
  <si>
    <t>UnitedHealth Integrated Service - formerly Wausau</t>
  </si>
  <si>
    <t>AH</t>
  </si>
  <si>
    <t>825142000129697 </t>
  </si>
  <si>
    <t>$9,458.03 </t>
  </si>
  <si>
    <t>EA37L7F0T0000-SI499300X103335-2025-02-06</t>
  </si>
  <si>
    <t>C25143E84963100 </t>
  </si>
  <si>
    <t>020242925073S710X00.SI418064X86479</t>
  </si>
  <si>
    <t>8.020242925073S710X00.SI418064X86479</t>
  </si>
  <si>
    <t>C25143E84963040 </t>
  </si>
  <si>
    <t>$10,810.91 </t>
  </si>
  <si>
    <t>02025048507E9970X00.SI486375X101120</t>
  </si>
  <si>
    <t>$15,374.22 </t>
  </si>
  <si>
    <t>SI505902X13300</t>
  </si>
  <si>
    <t>SI194142X59301</t>
  </si>
  <si>
    <t>T3418522 </t>
  </si>
  <si>
    <t>20250423 SI529232X88718</t>
  </si>
  <si>
    <t>American Postal Workers Union </t>
  </si>
  <si>
    <t>1191554360 </t>
  </si>
  <si>
    <t>C25142E84802140</t>
  </si>
  <si>
    <t>0202505050252D90X00.SI487598X37795</t>
  </si>
  <si>
    <t> 5/27/2025</t>
  </si>
  <si>
    <t>C25142E84802230 </t>
  </si>
  <si>
    <t>C25147N15286590</t>
  </si>
  <si>
    <t>020242625014J050X00.SI397775X91395</t>
  </si>
  <si>
    <t>8.020242625014J050X00.SI397775X91395</t>
  </si>
  <si>
    <t>8.0202426254552260X00.SI396544X73521</t>
  </si>
  <si>
    <t>800512703 </t>
  </si>
  <si>
    <t>925146000342548 </t>
  </si>
  <si>
    <t> $3,805.56</t>
  </si>
  <si>
    <t>PSI479818X6859/820250440465141</t>
  </si>
  <si>
    <t>PSI416551X93383/820242890415822</t>
  </si>
  <si>
    <t>882513901002162 </t>
  </si>
  <si>
    <t>$3,361.75 </t>
  </si>
  <si>
    <t>EFPDK7JPB0000-SI469627X23205-2025-01-13</t>
  </si>
  <si>
    <t>925143000142727 </t>
  </si>
  <si>
    <t>C25141E84667910 </t>
  </si>
  <si>
    <t>0202405150D41770X.SI273373X28616</t>
  </si>
  <si>
    <t>02025111506T6150X00.SI522855X105767</t>
  </si>
  <si>
    <t>02025065506Q5600X00.SI499014X103610</t>
  </si>
  <si>
    <t>C25141E84667900 </t>
  </si>
  <si>
    <t>0202311650C86910X.SI73106X23136</t>
  </si>
  <si>
    <t>02024184507J4340X.SI350925X59843</t>
  </si>
  <si>
    <t>02022179506218Z0X.SI10228X5677</t>
  </si>
  <si>
    <t>020243375024Z050X.SI443409X8647</t>
  </si>
  <si>
    <t> 5/23/2025</t>
  </si>
  <si>
    <t>25143B1000067482</t>
  </si>
  <si>
    <t>SI303113X3966 241320BXVZ01</t>
  </si>
  <si>
    <t>United HealthCare of all states </t>
  </si>
  <si>
    <t>W323607186</t>
  </si>
  <si>
    <t> $6,096.53</t>
  </si>
  <si>
    <t>20250109 SI468021X57643</t>
  </si>
  <si>
    <t>W323607187 </t>
  </si>
  <si>
    <t>20250413 SI532217X78016</t>
  </si>
  <si>
    <t>C25140E84534550 </t>
  </si>
  <si>
    <t> $50.00</t>
  </si>
  <si>
    <t>C25140E84534490 </t>
  </si>
  <si>
    <t>C25148E85304080</t>
  </si>
  <si>
    <t>C25150N15554150</t>
  </si>
  <si>
    <t>8.0202422750319F70X01.SI352141X6122</t>
  </si>
  <si>
    <t>C25147E85160500</t>
  </si>
  <si>
    <t>25149B1000007533</t>
  </si>
  <si>
    <t>C25143E84963100</t>
  </si>
  <si>
    <t>C25143E84963040</t>
  </si>
  <si>
    <t>T3418522</t>
  </si>
  <si>
    <t>American Postal Workers Union</t>
  </si>
  <si>
    <t>C25142E84802230</t>
  </si>
  <si>
    <t>C25141E84667910</t>
  </si>
  <si>
    <t>C25141E84667900</t>
  </si>
  <si>
    <t>W323607187</t>
  </si>
  <si>
    <t>C25142N15113800</t>
  </si>
  <si>
    <t>C25139E84403330</t>
  </si>
  <si>
    <t>C25141N15042880</t>
  </si>
  <si>
    <t>020242755087Y380X00.SI407192X12474</t>
  </si>
  <si>
    <t>02024283503L9990X00.SI412251X41972</t>
  </si>
  <si>
    <t>0202428854685040X00.SI409769X92986</t>
  </si>
  <si>
    <t>8.02024316500L7820X00.SI431881X28128</t>
  </si>
  <si>
    <t>8.0202428854685040X00.SI409769X92986</t>
  </si>
  <si>
    <t>Rising Medical</t>
  </si>
  <si>
    <t>Sentinel Security Life Insurance</t>
  </si>
  <si>
    <t>Group Management Services</t>
  </si>
  <si>
    <t>LINECO</t>
  </si>
  <si>
    <t>H</t>
  </si>
  <si>
    <t>C25127N14247430</t>
  </si>
  <si>
    <t>02024249509V5970X01.SI390540X66726</t>
  </si>
  <si>
    <t>020242925065Q410X00.SI417134X43017</t>
  </si>
  <si>
    <t>02024256507L7280X00.SI392830X87052</t>
  </si>
  <si>
    <t>8.02024309500U8040X00.SI427377X49120</t>
  </si>
  <si>
    <t>8.02024313505E0520X00.SI430903X95186</t>
  </si>
  <si>
    <t>8.0202431050T92150X00.SI427808X40956</t>
  </si>
  <si>
    <t>8.0202431750K59570X00.SI432508X71863</t>
  </si>
  <si>
    <t>8.0202431950H83300X00.SI433914X95378</t>
  </si>
  <si>
    <t>8.02024313504E9460X01.SI430449X95485</t>
  </si>
  <si>
    <t>8.02024309509T9380X00.SI427658X91461</t>
  </si>
  <si>
    <t>8.0202431050U46830X00.SI428392X7091</t>
  </si>
  <si>
    <t>8.02024032504Y9200X01.SI261011X24999</t>
  </si>
  <si>
    <t>8.02024309508T0100X00.SI427404X79909</t>
  </si>
  <si>
    <t>8.0202431750K60610X00.SI432544X16488</t>
  </si>
  <si>
    <t>8.0202428850703V60X00.SI415010X86479</t>
  </si>
  <si>
    <t>8.02024312501286N0X00.SI429252X39874</t>
  </si>
  <si>
    <t>8.0202427054591960X00.SI393899X91445</t>
  </si>
  <si>
    <t>8.0202427054592000X00.SI396994X91445</t>
  </si>
  <si>
    <t>8.0202427054592010X00.SI396993X91445</t>
  </si>
  <si>
    <t>8.0202427054593400X00.SI402174X91445</t>
  </si>
  <si>
    <t>8.0202427054593410X00.SI402173X91445</t>
  </si>
  <si>
    <t>8.0202427054593430X00.SI402272X91445</t>
  </si>
  <si>
    <t>8.0202427054593950X00.SI393898X91445</t>
  </si>
  <si>
    <t>8.0202427054593960X00.SI393897X91445</t>
  </si>
  <si>
    <t>8.0202427054594020X00.SI396718X91445</t>
  </si>
  <si>
    <t>8.020243125069Y350X00.SI429663X32215</t>
  </si>
  <si>
    <t>8.0202431950K02560X00.SI433725X5964</t>
  </si>
  <si>
    <t>8.02024318508289A0X00.SI433472X63274</t>
  </si>
  <si>
    <t>8.02024318507987A0X00.SI433309X14113</t>
  </si>
  <si>
    <t>8.02024316509J6530X00.SI431529X59355</t>
  </si>
  <si>
    <t>8.02024309509T0290X00.SI427022X25956</t>
  </si>
  <si>
    <t>8.02024309500U2210X00.SI427695X94622</t>
  </si>
  <si>
    <t>8.02024316504K4260X00.SI431710X72959</t>
  </si>
  <si>
    <t>8.020243305030B510X00.SI430057X75193</t>
  </si>
  <si>
    <t>8.02024312501919N0X00.SI428749X25588</t>
  </si>
  <si>
    <t>8.0202430650Y56050X00.SI426771X75278</t>
  </si>
  <si>
    <t>8.02024313509E1270X00.SI430099X29037</t>
  </si>
  <si>
    <t>8.0202431050T94230X00.SI428343X95015</t>
  </si>
  <si>
    <t>8.02024318507739A0X00.SI433100X71536</t>
  </si>
  <si>
    <t>8.02024318505134A0X00.SI433061X28479</t>
  </si>
  <si>
    <t>Gallagher Bassett</t>
  </si>
  <si>
    <t>National Guardian Life Insurance Company</t>
  </si>
  <si>
    <t>C25121N13906990</t>
  </si>
  <si>
    <t>02024274507707U0X00.SI405480X6072</t>
  </si>
  <si>
    <t>8.02024228506C8870X01.SI377227X89054</t>
  </si>
  <si>
    <t>8.02024228509C1810X01.SI377228X89054</t>
  </si>
  <si>
    <t>8.02024228509C1990X01.SI377225X89054</t>
  </si>
  <si>
    <t>8.02024229503069F0X01.SI377844X89054</t>
  </si>
  <si>
    <t>8.02024229504760E0X01.SI377845X89054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</si>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</sst>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1" fillId="10" borderId="0" applyNumberFormat="0" applyBorder="0" applyAlignment="0" applyProtection="0"/>
    <xf numFmtId="0" fontId="1" fillId="14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6" borderId="0" applyNumberFormat="0" applyBorder="0" applyAlignment="0" applyProtection="0"/>
    <xf numFmtId="0" fontId="1" fillId="30" borderId="0" applyNumberFormat="0" applyBorder="0" applyAlignment="0" applyProtection="0"/>
    <xf numFmtId="0" fontId="1" fillId="11" borderId="0" applyNumberFormat="0" applyBorder="0" applyAlignment="0" applyProtection="0"/>
    <xf numFmtId="0" fontId="1" fillId="15" borderId="0" applyNumberFormat="0" applyBorder="0" applyAlignment="0" applyProtection="0"/>
    <xf numFmtId="0" fontId="1" fillId="19" borderId="0" applyNumberFormat="0" applyBorder="0" applyAlignment="0" applyProtection="0"/>
    <xf numFmtId="0" fontId="1" fillId="23" borderId="0" applyNumberFormat="0" applyBorder="0" applyAlignment="0" applyProtection="0"/>
    <xf numFmtId="0" fontId="1" fillId="27" borderId="0" applyNumberFormat="0" applyBorder="0" applyAlignment="0" applyProtection="0"/>
    <xf numFmtId="0" fontId="1" fillId="31" borderId="0" applyNumberFormat="0" applyBorder="0" applyAlignment="0" applyProtection="0"/>
    <xf numFmtId="0" fontId="1" fillId="12" borderId="0" applyNumberFormat="0" applyBorder="0" applyAlignment="0" applyProtection="0"/>
    <xf numFmtId="0" fontId="1" fillId="16" borderId="0" applyNumberFormat="0" applyBorder="0" applyAlignment="0" applyProtection="0"/>
    <xf numFmtId="0" fontId="1" fillId="20" borderId="0" applyNumberFormat="0" applyBorder="0" applyAlignment="0" applyProtection="0"/>
    <xf numFmtId="0" fontId="1" fillId="24" borderId="0" applyNumberFormat="0" applyBorder="0" applyAlignment="0" applyProtection="0"/>
    <xf numFmtId="0" fontId="1" fillId="28" borderId="0" applyNumberFormat="0" applyBorder="0" applyAlignment="0" applyProtection="0"/>
    <xf numFmtId="0" fontId="1" fillId="32" borderId="0" applyNumberFormat="0" applyBorder="0" applyAlignment="0" applyProtection="0"/>
    <xf numFmtId="0" fontId="17" fillId="9" borderId="0" applyNumberFormat="0" applyBorder="0" applyAlignment="0" applyProtection="0"/>
    <xf numFmtId="0" fontId="17" fillId="13" borderId="0" applyNumberFormat="0" applyBorder="0" applyAlignment="0" applyProtection="0"/>
    <xf numFmtId="0" fontId="17" fillId="17" borderId="0" applyNumberFormat="0" applyBorder="0" applyAlignment="0" applyProtection="0"/>
    <xf numFmtId="0" fontId="17" fillId="21" borderId="0" applyNumberFormat="0" applyBorder="0" applyAlignment="0" applyProtection="0"/>
    <xf numFmtId="0" fontId="17" fillId="25" borderId="0" applyNumberFormat="0" applyBorder="0" applyAlignment="0" applyProtection="0"/>
    <xf numFmtId="0" fontId="17" fillId="29" borderId="0" applyNumberFormat="0" applyBorder="0" applyAlignment="0" applyProtection="0"/>
    <xf numFmtId="0" fontId="7" fillId="3" borderId="0" applyNumberFormat="0" applyBorder="0" applyAlignment="0" applyProtection="0"/>
    <xf numFmtId="0" fontId="11" fillId="6" borderId="4" applyNumberFormat="0" applyAlignment="0" applyProtection="0"/>
    <xf numFmtId="0" fontId="13" fillId="7" borderId="7" applyNumberFormat="0" applyAlignment="0" applyProtection="0"/>
    <xf numFmtId="0" fontId="1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9" fillId="5" borderId="4" applyNumberFormat="0" applyAlignment="0" applyProtection="0"/>
    <xf numFmtId="0" fontId="12" fillId="0" borderId="6" applyNumberFormat="0" applyFill="0" applyAlignment="0" applyProtection="0"/>
    <xf numFmtId="0" fontId="8" fillId="4" borderId="0" applyNumberFormat="0" applyBorder="0" applyAlignment="0" applyProtection="0"/>
    <xf numFmtId="0" fontId="1" fillId="8" borderId="8" applyNumberFormat="0" applyFont="0" applyAlignment="0" applyProtection="0"/>
    <xf numFmtId="0" fontId="10" fillId="6" borderId="5" applyNumberFormat="0" applyAlignment="0" applyProtection="0"/>
    <xf numFmtId="0" fontId="2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4" fillId="0" borderId="0" applyNumberFormat="0" applyFill="0" applyBorder="0" applyAlignment="0" applyProtection="0"/>
  </cellStyleXfs>
  <cellXfs count="11">
    <xf numFmtId="0" fontId="0" fillId="0" borderId="0" xfId="0"/>
    <xf numFmtId="14" fontId="0" fillId="0" borderId="0" xfId="0" applyNumberFormat="1"/>
    <xf numFmtId="8" fontId="0" fillId="0" borderId="0" xfId="0" applyNumberFormat="1"/>
    <xf numFmtId="11" fontId="0" fillId="0" borderId="0" xfId="0" applyNumberFormat="1"/>
    <xf numFmtId="0" fontId="0" fillId="0" borderId="0" xfId="0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8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1" fontId="0" fillId="0" borderId="0" xfId="0" applyNumberFormat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16" fillId="33" borderId="0" xfId="0" applyFont="1" applyFill="1" applyAlignment="1">
      <alignment horizontal="center" vertical="center"/>
    </xf>
  </cellXfs>
  <cellStyles count="42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7"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7CE"/>
          <bgColor rgb="FF000000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1E259B-D2ED-4494-800A-CCEDD1B00BB6}">
  <sheetPr filterMode="1"/>
  <dimension ref="A1:O336"/>
  <sheetViews>
    <sheetView workbookViewId="0">
      <selection activeCell="K23" sqref="K23"/>
    </sheetView>
  </sheetViews>
  <sheetFormatPr defaultRowHeight="15" x14ac:dyDescent="0.25"/>
  <cols>
    <col min="1" max="2" width="9.140625" style="4"/>
    <col min="3" max="3" width="11" style="4" bestFit="1" customWidth="1"/>
    <col min="4" max="4" width="33.28515625" style="5" customWidth="1"/>
    <col min="5" max="6" width="9.140625" style="4"/>
    <col min="7" max="7" width="11.85546875" style="6" bestFit="1" customWidth="1"/>
    <col min="8" max="8" width="9.140625" style="4"/>
    <col min="9" max="9" width="43.42578125" style="4" bestFit="1" customWidth="1"/>
    <col min="10" max="10" width="9.140625" style="4"/>
    <col min="11" max="11" width="49.85546875" style="4" bestFit="1" customWidth="1"/>
    <col min="12" max="13" width="9.140625" style="4"/>
    <col min="14" max="14" width="23.7109375" style="4" customWidth="1"/>
    <col min="15" max="15" width="9.140625" style="4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4" t="s">
        <v>4</v>
      </c>
      <c r="F1" s="4" t="s">
        <v>338</v>
      </c>
      <c r="G1" s="6" t="s">
        <v>6</v>
      </c>
      <c r="H1" s="4" t="s">
        <v>7</v>
      </c>
      <c r="I1" s="4" t="s">
        <v>8</v>
      </c>
      <c r="J1" s="4" t="s">
        <v>9</v>
      </c>
      <c r="K1" s="4" t="s">
        <v>809</v>
      </c>
      <c r="L1" s="9" t="s">
        <v>336</v>
      </c>
      <c r="M1" s="10" t="s">
        <v>337</v>
      </c>
      <c r="N1" s="10" t="s">
        <v>11</v>
      </c>
      <c r="O1" s="10" t="s">
        <v>340</v>
      </c>
    </row>
    <row r="2" spans="1:15" hidden="1" x14ac:dyDescent="0.25">
      <c r="A2" s="4">
        <v>79</v>
      </c>
      <c r="B2" s="4" t="s">
        <v>74</v>
      </c>
      <c r="C2" s="7">
        <v>45785</v>
      </c>
      <c r="D2" s="5">
        <v>1929948</v>
      </c>
      <c r="E2" s="4" t="e">
        <v>#N/A</v>
      </c>
      <c r="F2" s="4" t="s">
        <v>11</v>
      </c>
      <c r="G2" s="6">
        <v>2500.62</v>
      </c>
      <c r="H2" s="4" t="s">
        <v>15</v>
      </c>
      <c r="I2" s="4" t="s">
        <v>127</v>
      </c>
      <c r="J2" s="6">
        <v>-100.94</v>
      </c>
      <c r="K2" s="6" t="str">
        <f>I2&amp;J2</f>
        <v>356225X44247-100.94</v>
      </c>
      <c r="L2" s="4" t="str">
        <f>IF(COUNTIF(D:D,D2)&gt;1,"D","N")</f>
        <v>N</v>
      </c>
      <c r="M2" s="4">
        <f>COUNTIFS(D:D,D2,F:F,"UPDATED")</f>
        <v>0</v>
      </c>
      <c r="N2" s="4">
        <f>COUNTIFS(D:D,D2,F:F,"NOT UPDATED")</f>
        <v>1</v>
      </c>
      <c r="O2" s="4">
        <f>COUNTIF(D:D,D2)</f>
        <v>1</v>
      </c>
    </row>
    <row r="3" spans="1:15" hidden="1" x14ac:dyDescent="0.25">
      <c r="A3" s="4">
        <v>91</v>
      </c>
      <c r="B3" s="4" t="s">
        <v>74</v>
      </c>
      <c r="C3" s="7">
        <v>45789</v>
      </c>
      <c r="D3" s="5">
        <v>1932500</v>
      </c>
      <c r="E3" s="4" t="e">
        <v>#N/A</v>
      </c>
      <c r="F3" s="4" t="s">
        <v>11</v>
      </c>
      <c r="G3" s="6">
        <v>5794.81</v>
      </c>
      <c r="H3" s="4" t="s">
        <v>15</v>
      </c>
      <c r="I3" s="4" t="s">
        <v>128</v>
      </c>
      <c r="J3" s="6">
        <v>1102.6500000000001</v>
      </c>
      <c r="K3" s="6" t="str">
        <f t="shared" ref="K3:K66" si="0">I3&amp;J3</f>
        <v>OC322234X379001102.65</v>
      </c>
      <c r="L3" s="4" t="str">
        <f>IF(COUNTIF(D:D,D3)&gt;1,"D","N")</f>
        <v>N</v>
      </c>
      <c r="M3" s="4">
        <f>COUNTIFS(D:D,D3,F:F,"UPDATED")</f>
        <v>0</v>
      </c>
      <c r="N3" s="4">
        <f>COUNTIFS(D:D,D3,F:F,"NOT UPDATED")</f>
        <v>1</v>
      </c>
      <c r="O3" s="4">
        <f>COUNTIF(D:D,D3)</f>
        <v>1</v>
      </c>
    </row>
    <row r="4" spans="1:15" hidden="1" x14ac:dyDescent="0.25">
      <c r="A4" s="4">
        <v>148</v>
      </c>
      <c r="B4" s="4" t="s">
        <v>74</v>
      </c>
      <c r="C4" s="7">
        <v>45792</v>
      </c>
      <c r="D4" s="5">
        <v>1935965</v>
      </c>
      <c r="E4" s="4" t="e">
        <v>#N/A</v>
      </c>
      <c r="F4" s="4" t="s">
        <v>11</v>
      </c>
      <c r="G4" s="6">
        <v>2860.65</v>
      </c>
      <c r="H4" s="4" t="s">
        <v>15</v>
      </c>
      <c r="I4" s="4" t="s">
        <v>129</v>
      </c>
      <c r="J4" s="6">
        <v>251140427301</v>
      </c>
      <c r="K4" s="6" t="str">
        <f t="shared" si="0"/>
        <v>408894X49677251140427301</v>
      </c>
      <c r="L4" s="4" t="str">
        <f>IF(COUNTIF(D:D,D4)&gt;1,"D","N")</f>
        <v>N</v>
      </c>
      <c r="M4" s="4">
        <f>COUNTIFS(D:D,D4,F:F,"UPDATED")</f>
        <v>0</v>
      </c>
      <c r="N4" s="4">
        <f>COUNTIFS(D:D,D4,F:F,"NOT UPDATED")</f>
        <v>1</v>
      </c>
      <c r="O4" s="4">
        <f>COUNTIF(D:D,D4)</f>
        <v>1</v>
      </c>
    </row>
    <row r="5" spans="1:15" hidden="1" x14ac:dyDescent="0.25">
      <c r="A5" s="4">
        <v>30</v>
      </c>
      <c r="B5" s="4" t="s">
        <v>130</v>
      </c>
      <c r="C5" s="7">
        <v>45782</v>
      </c>
      <c r="D5" s="5">
        <v>10101123</v>
      </c>
      <c r="E5" s="4" t="e">
        <v>#N/A</v>
      </c>
      <c r="F5" s="4" t="s">
        <v>11</v>
      </c>
      <c r="G5" s="6">
        <v>4487.25</v>
      </c>
      <c r="H5" s="4" t="s">
        <v>131</v>
      </c>
      <c r="I5" s="4">
        <v>10101123</v>
      </c>
      <c r="J5" s="6">
        <v>-20.440000000000001</v>
      </c>
      <c r="K5" s="6" t="str">
        <f t="shared" si="0"/>
        <v>10101123-20.44</v>
      </c>
      <c r="L5" s="4" t="str">
        <f>IF(COUNTIF(D:D,D5)&gt;1,"D","N")</f>
        <v>N</v>
      </c>
      <c r="M5" s="4">
        <f>COUNTIFS(D:D,D5,F:F,"UPDATED")</f>
        <v>0</v>
      </c>
      <c r="N5" s="4">
        <f>COUNTIFS(D:D,D5,F:F,"NOT UPDATED")</f>
        <v>1</v>
      </c>
      <c r="O5" s="4">
        <f>COUNTIF(D:D,D5)</f>
        <v>1</v>
      </c>
    </row>
    <row r="6" spans="1:15" hidden="1" x14ac:dyDescent="0.25">
      <c r="A6" s="4">
        <v>207</v>
      </c>
      <c r="B6" s="4" t="s">
        <v>130</v>
      </c>
      <c r="C6" s="7">
        <v>45804</v>
      </c>
      <c r="D6" s="5">
        <v>10102066</v>
      </c>
      <c r="E6" s="4" t="e">
        <v>#N/A</v>
      </c>
      <c r="F6" s="4" t="s">
        <v>11</v>
      </c>
      <c r="G6" s="6">
        <v>31497.24</v>
      </c>
      <c r="H6" s="4" t="s">
        <v>131</v>
      </c>
      <c r="I6" s="4">
        <v>10102066</v>
      </c>
      <c r="J6" s="6">
        <v>-4.3600000000000003</v>
      </c>
      <c r="K6" s="6" t="str">
        <f t="shared" si="0"/>
        <v>10102066-4.36</v>
      </c>
      <c r="L6" s="4" t="str">
        <f>IF(COUNTIF(D:D,D6)&gt;1,"D","N")</f>
        <v>N</v>
      </c>
      <c r="M6" s="4">
        <f>COUNTIFS(D:D,D6,F:F,"UPDATED")</f>
        <v>0</v>
      </c>
      <c r="N6" s="4">
        <f>COUNTIFS(D:D,D6,F:F,"NOT UPDATED")</f>
        <v>1</v>
      </c>
      <c r="O6" s="4">
        <f>COUNTIF(D:D,D6)</f>
        <v>1</v>
      </c>
    </row>
    <row r="7" spans="1:15" hidden="1" x14ac:dyDescent="0.25">
      <c r="A7" s="4">
        <v>206</v>
      </c>
      <c r="B7" s="4" t="s">
        <v>130</v>
      </c>
      <c r="C7" s="7">
        <v>45804</v>
      </c>
      <c r="D7" s="5">
        <v>10102068</v>
      </c>
      <c r="E7" s="4" t="e">
        <v>#N/A</v>
      </c>
      <c r="F7" s="4" t="s">
        <v>11</v>
      </c>
      <c r="G7" s="6">
        <v>47611.19</v>
      </c>
      <c r="H7" s="4" t="s">
        <v>131</v>
      </c>
      <c r="I7" s="4">
        <v>10102068</v>
      </c>
      <c r="J7" s="6">
        <v>-12.86</v>
      </c>
      <c r="K7" s="6" t="str">
        <f t="shared" si="0"/>
        <v>10102068-12.86</v>
      </c>
      <c r="L7" s="4" t="str">
        <f>IF(COUNTIF(D:D,D7)&gt;1,"D","N")</f>
        <v>N</v>
      </c>
      <c r="M7" s="4">
        <f>COUNTIFS(D:D,D7,F:F,"UPDATED")</f>
        <v>0</v>
      </c>
      <c r="N7" s="4">
        <f>COUNTIFS(D:D,D7,F:F,"NOT UPDATED")</f>
        <v>1</v>
      </c>
      <c r="O7" s="4">
        <f>COUNTIF(D:D,D7)</f>
        <v>1</v>
      </c>
    </row>
    <row r="8" spans="1:15" hidden="1" x14ac:dyDescent="0.25">
      <c r="A8" s="4">
        <v>87</v>
      </c>
      <c r="B8" s="4" t="s">
        <v>132</v>
      </c>
      <c r="C8" s="7">
        <v>45786</v>
      </c>
      <c r="D8" s="5">
        <v>39364803</v>
      </c>
      <c r="E8" s="4" t="e">
        <v>#N/A</v>
      </c>
      <c r="F8" s="4" t="s">
        <v>11</v>
      </c>
      <c r="G8" s="6">
        <v>0</v>
      </c>
      <c r="H8" s="4" t="s">
        <v>29</v>
      </c>
      <c r="I8" s="4" t="s">
        <v>133</v>
      </c>
      <c r="J8" s="6">
        <v>-3</v>
      </c>
      <c r="K8" s="6" t="str">
        <f t="shared" si="0"/>
        <v>OC367760X25953-3</v>
      </c>
      <c r="L8" s="4" t="str">
        <f>IF(COUNTIF(D:D,D8)&gt;1,"D","N")</f>
        <v>N</v>
      </c>
      <c r="M8" s="4">
        <f>COUNTIFS(D:D,D8,F:F,"UPDATED")</f>
        <v>0</v>
      </c>
      <c r="N8" s="4">
        <f>COUNTIFS(D:D,D8,F:F,"NOT UPDATED")</f>
        <v>1</v>
      </c>
      <c r="O8" s="4">
        <f>COUNTIF(D:D,D8)</f>
        <v>1</v>
      </c>
    </row>
    <row r="9" spans="1:15" hidden="1" x14ac:dyDescent="0.25">
      <c r="A9" s="4">
        <v>126</v>
      </c>
      <c r="B9" s="4" t="s">
        <v>132</v>
      </c>
      <c r="C9" s="7">
        <v>45790</v>
      </c>
      <c r="D9" s="5">
        <v>39426542</v>
      </c>
      <c r="E9" s="4" t="e">
        <v>#N/A</v>
      </c>
      <c r="F9" s="4" t="s">
        <v>11</v>
      </c>
      <c r="G9" s="6">
        <v>84.58</v>
      </c>
      <c r="H9" s="4" t="s">
        <v>29</v>
      </c>
      <c r="I9" s="4" t="s">
        <v>134</v>
      </c>
      <c r="J9" s="6">
        <v>-3</v>
      </c>
      <c r="K9" s="6" t="str">
        <f t="shared" si="0"/>
        <v>OC364841X45411-3</v>
      </c>
      <c r="L9" s="4" t="str">
        <f>IF(COUNTIF(D:D,D9)&gt;1,"D","N")</f>
        <v>N</v>
      </c>
      <c r="M9" s="4">
        <f>COUNTIFS(D:D,D9,F:F,"UPDATED")</f>
        <v>0</v>
      </c>
      <c r="N9" s="4">
        <f>COUNTIFS(D:D,D9,F:F,"NOT UPDATED")</f>
        <v>1</v>
      </c>
      <c r="O9" s="4">
        <f>COUNTIF(D:D,D9)</f>
        <v>1</v>
      </c>
    </row>
    <row r="10" spans="1:15" hidden="1" x14ac:dyDescent="0.25">
      <c r="A10" s="4">
        <v>7</v>
      </c>
      <c r="B10" s="4" t="s">
        <v>10</v>
      </c>
      <c r="C10" s="7">
        <v>45778</v>
      </c>
      <c r="D10" s="5">
        <v>800445005</v>
      </c>
      <c r="E10" s="4" t="e">
        <v>#N/A</v>
      </c>
      <c r="F10" s="4" t="s">
        <v>11</v>
      </c>
      <c r="G10" s="6">
        <v>37830.44</v>
      </c>
      <c r="H10" s="4" t="s">
        <v>15</v>
      </c>
      <c r="I10" s="4" t="s">
        <v>135</v>
      </c>
      <c r="J10" s="6">
        <v>37.92</v>
      </c>
      <c r="K10" s="6" t="str">
        <f t="shared" si="0"/>
        <v>OC373750X1387637.92</v>
      </c>
      <c r="L10" s="4" t="str">
        <f>IF(COUNTIF(D:D,D10)&gt;1,"D","N")</f>
        <v>D</v>
      </c>
      <c r="M10" s="4">
        <f>COUNTIFS(D:D,D10,F:F,"UPDATED")</f>
        <v>0</v>
      </c>
      <c r="N10" s="4">
        <f>COUNTIFS(D:D,D10,F:F,"NOT UPDATED")</f>
        <v>3</v>
      </c>
      <c r="O10" s="4">
        <f>COUNTIF(D:D,D10)</f>
        <v>3</v>
      </c>
    </row>
    <row r="11" spans="1:15" hidden="1" x14ac:dyDescent="0.25">
      <c r="A11" s="4">
        <v>5</v>
      </c>
      <c r="B11" s="4" t="s">
        <v>10</v>
      </c>
      <c r="C11" s="7">
        <v>45778</v>
      </c>
      <c r="D11" s="5">
        <v>800445005</v>
      </c>
      <c r="E11" s="4" t="e">
        <v>#N/A</v>
      </c>
      <c r="F11" s="4" t="s">
        <v>11</v>
      </c>
      <c r="G11" s="6">
        <v>37830.44</v>
      </c>
      <c r="H11" s="4" t="s">
        <v>108</v>
      </c>
      <c r="I11" s="4" t="s">
        <v>136</v>
      </c>
      <c r="J11" s="6">
        <v>37.92</v>
      </c>
      <c r="K11" s="6" t="str">
        <f t="shared" si="0"/>
        <v>OC374280X1667137.92</v>
      </c>
      <c r="L11" s="4" t="str">
        <f>IF(COUNTIF(D:D,D11)&gt;1,"D","N")</f>
        <v>D</v>
      </c>
      <c r="M11" s="4">
        <f>COUNTIFS(D:D,D11,F:F,"UPDATED")</f>
        <v>0</v>
      </c>
      <c r="N11" s="4">
        <f>COUNTIFS(D:D,D11,F:F,"NOT UPDATED")</f>
        <v>3</v>
      </c>
      <c r="O11" s="4">
        <f>COUNTIF(D:D,D11)</f>
        <v>3</v>
      </c>
    </row>
    <row r="12" spans="1:15" hidden="1" x14ac:dyDescent="0.25">
      <c r="A12" s="4">
        <v>6</v>
      </c>
      <c r="B12" s="4" t="s">
        <v>10</v>
      </c>
      <c r="C12" s="7">
        <v>45778</v>
      </c>
      <c r="D12" s="5">
        <v>800445005</v>
      </c>
      <c r="E12" s="4" t="e">
        <v>#N/A</v>
      </c>
      <c r="F12" s="4" t="s">
        <v>11</v>
      </c>
      <c r="G12" s="6">
        <v>37830.44</v>
      </c>
      <c r="H12" s="4" t="s">
        <v>15</v>
      </c>
      <c r="I12" s="4" t="s">
        <v>137</v>
      </c>
      <c r="J12" s="6">
        <v>37.92</v>
      </c>
      <c r="K12" s="6" t="str">
        <f t="shared" si="0"/>
        <v>OC374284X972537.92</v>
      </c>
      <c r="L12" s="4" t="str">
        <f>IF(COUNTIF(D:D,D12)&gt;1,"D","N")</f>
        <v>D</v>
      </c>
      <c r="M12" s="4">
        <f>COUNTIFS(D:D,D12,F:F,"UPDATED")</f>
        <v>0</v>
      </c>
      <c r="N12" s="4">
        <f>COUNTIFS(D:D,D12,F:F,"NOT UPDATED")</f>
        <v>3</v>
      </c>
      <c r="O12" s="4">
        <f>COUNTIF(D:D,D12)</f>
        <v>3</v>
      </c>
    </row>
    <row r="13" spans="1:15" hidden="1" x14ac:dyDescent="0.25">
      <c r="A13" s="4">
        <v>33</v>
      </c>
      <c r="B13" s="4" t="s">
        <v>10</v>
      </c>
      <c r="C13" s="7">
        <v>45782</v>
      </c>
      <c r="D13" s="5">
        <v>800453346</v>
      </c>
      <c r="E13" s="4" t="e">
        <v>#N/A</v>
      </c>
      <c r="F13" s="4" t="s">
        <v>11</v>
      </c>
      <c r="G13" s="6">
        <v>11828.97</v>
      </c>
      <c r="H13" s="4" t="s">
        <v>12</v>
      </c>
      <c r="I13" s="4" t="s">
        <v>138</v>
      </c>
      <c r="J13" s="6">
        <v>-19.41</v>
      </c>
      <c r="K13" s="6" t="str">
        <f t="shared" si="0"/>
        <v>OC291140X2341-19.41</v>
      </c>
      <c r="L13" s="4" t="str">
        <f>IF(COUNTIF(D:D,D13)&gt;1,"D","N")</f>
        <v>D</v>
      </c>
      <c r="M13" s="4">
        <f>COUNTIFS(D:D,D13,F:F,"UPDATED")</f>
        <v>0</v>
      </c>
      <c r="N13" s="4">
        <f>COUNTIFS(D:D,D13,F:F,"NOT UPDATED")</f>
        <v>2</v>
      </c>
      <c r="O13" s="4">
        <f>COUNTIF(D:D,D13)</f>
        <v>2</v>
      </c>
    </row>
    <row r="14" spans="1:15" hidden="1" x14ac:dyDescent="0.25">
      <c r="A14" s="4">
        <v>34</v>
      </c>
      <c r="B14" s="4" t="s">
        <v>10</v>
      </c>
      <c r="C14" s="7">
        <v>45782</v>
      </c>
      <c r="D14" s="5">
        <v>800453346</v>
      </c>
      <c r="E14" s="4" t="e">
        <v>#N/A</v>
      </c>
      <c r="F14" s="4" t="s">
        <v>11</v>
      </c>
      <c r="G14" s="6">
        <v>11828.97</v>
      </c>
      <c r="H14" s="4" t="s">
        <v>12</v>
      </c>
      <c r="I14" s="4" t="s">
        <v>139</v>
      </c>
      <c r="J14" s="6">
        <v>-17.53</v>
      </c>
      <c r="K14" s="6" t="str">
        <f t="shared" si="0"/>
        <v>OC373273X18883-17.53</v>
      </c>
      <c r="L14" s="4" t="str">
        <f>IF(COUNTIF(D:D,D14)&gt;1,"D","N")</f>
        <v>D</v>
      </c>
      <c r="M14" s="4">
        <f>COUNTIFS(D:D,D14,F:F,"UPDATED")</f>
        <v>0</v>
      </c>
      <c r="N14" s="4">
        <f>COUNTIFS(D:D,D14,F:F,"NOT UPDATED")</f>
        <v>2</v>
      </c>
      <c r="O14" s="4">
        <f>COUNTIF(D:D,D14)</f>
        <v>2</v>
      </c>
    </row>
    <row r="15" spans="1:15" hidden="1" x14ac:dyDescent="0.25">
      <c r="A15" s="4">
        <v>49</v>
      </c>
      <c r="B15" s="4" t="s">
        <v>10</v>
      </c>
      <c r="C15" s="7">
        <v>45783</v>
      </c>
      <c r="D15" s="5">
        <v>800457373</v>
      </c>
      <c r="E15" s="4" t="e">
        <v>#N/A</v>
      </c>
      <c r="F15" s="4" t="s">
        <v>11</v>
      </c>
      <c r="G15" s="6">
        <v>42243.94</v>
      </c>
      <c r="H15" s="4" t="s">
        <v>12</v>
      </c>
      <c r="I15" s="4" t="s">
        <v>140</v>
      </c>
      <c r="J15" s="6">
        <v>-25.28</v>
      </c>
      <c r="K15" s="6" t="str">
        <f t="shared" si="0"/>
        <v>OC376573X1151-25.28</v>
      </c>
      <c r="L15" s="4" t="str">
        <f>IF(COUNTIF(D:D,D15)&gt;1,"D","N")</f>
        <v>N</v>
      </c>
      <c r="M15" s="4">
        <f>COUNTIFS(D:D,D15,F:F,"UPDATED")</f>
        <v>0</v>
      </c>
      <c r="N15" s="4">
        <f>COUNTIFS(D:D,D15,F:F,"NOT UPDATED")</f>
        <v>1</v>
      </c>
      <c r="O15" s="4">
        <f>COUNTIF(D:D,D15)</f>
        <v>1</v>
      </c>
    </row>
    <row r="16" spans="1:15" hidden="1" x14ac:dyDescent="0.25">
      <c r="A16" s="4">
        <v>67</v>
      </c>
      <c r="B16" s="4" t="s">
        <v>10</v>
      </c>
      <c r="C16" s="7">
        <v>45784</v>
      </c>
      <c r="D16" s="5">
        <v>800461325</v>
      </c>
      <c r="E16" s="4" t="e">
        <v>#N/A</v>
      </c>
      <c r="F16" s="4" t="s">
        <v>11</v>
      </c>
      <c r="G16" s="6">
        <v>50721.13</v>
      </c>
      <c r="H16" s="4" t="s">
        <v>15</v>
      </c>
      <c r="I16" s="4" t="s">
        <v>141</v>
      </c>
      <c r="J16" s="6">
        <v>155.38999999999999</v>
      </c>
      <c r="K16" s="6" t="str">
        <f t="shared" si="0"/>
        <v>OC379589X46466155.39</v>
      </c>
      <c r="L16" s="4" t="str">
        <f>IF(COUNTIF(D:D,D16)&gt;1,"D","N")</f>
        <v>N</v>
      </c>
      <c r="M16" s="4">
        <f>COUNTIFS(D:D,D16,F:F,"UPDATED")</f>
        <v>0</v>
      </c>
      <c r="N16" s="4">
        <f>COUNTIFS(D:D,D16,F:F,"NOT UPDATED")</f>
        <v>1</v>
      </c>
      <c r="O16" s="4">
        <f>COUNTIF(D:D,D16)</f>
        <v>1</v>
      </c>
    </row>
    <row r="17" spans="1:15" hidden="1" x14ac:dyDescent="0.25">
      <c r="A17" s="4">
        <v>123</v>
      </c>
      <c r="B17" s="4" t="s">
        <v>10</v>
      </c>
      <c r="C17" s="7">
        <v>45790</v>
      </c>
      <c r="D17" s="5">
        <v>800477897</v>
      </c>
      <c r="E17" s="4" t="e">
        <v>#N/A</v>
      </c>
      <c r="F17" s="4" t="s">
        <v>11</v>
      </c>
      <c r="G17" s="6">
        <v>12830.98</v>
      </c>
      <c r="H17" s="4" t="s">
        <v>15</v>
      </c>
      <c r="I17" s="4" t="s">
        <v>142</v>
      </c>
      <c r="J17" s="6">
        <v>49.94</v>
      </c>
      <c r="K17" s="6" t="str">
        <f t="shared" si="0"/>
        <v>OC385754X659849.94</v>
      </c>
      <c r="L17" s="4" t="str">
        <f>IF(COUNTIF(D:D,D17)&gt;1,"D","N")</f>
        <v>D</v>
      </c>
      <c r="M17" s="4">
        <f>COUNTIFS(D:D,D17,F:F,"UPDATED")</f>
        <v>0</v>
      </c>
      <c r="N17" s="4">
        <f>COUNTIFS(D:D,D17,F:F,"NOT UPDATED")</f>
        <v>3</v>
      </c>
      <c r="O17" s="4">
        <f>COUNTIF(D:D,D17)</f>
        <v>3</v>
      </c>
    </row>
    <row r="18" spans="1:15" hidden="1" x14ac:dyDescent="0.25">
      <c r="A18" s="4">
        <v>124</v>
      </c>
      <c r="B18" s="4" t="s">
        <v>10</v>
      </c>
      <c r="C18" s="7">
        <v>45790</v>
      </c>
      <c r="D18" s="5">
        <v>800477897</v>
      </c>
      <c r="E18" s="4" t="e">
        <v>#N/A</v>
      </c>
      <c r="F18" s="4" t="s">
        <v>11</v>
      </c>
      <c r="G18" s="6">
        <v>12830.98</v>
      </c>
      <c r="H18" s="4" t="s">
        <v>12</v>
      </c>
      <c r="I18" s="4" t="s">
        <v>143</v>
      </c>
      <c r="J18" s="6">
        <v>-17.96</v>
      </c>
      <c r="K18" s="6" t="str">
        <f t="shared" si="0"/>
        <v>OC395674X40942-17.96</v>
      </c>
      <c r="L18" s="4" t="str">
        <f>IF(COUNTIF(D:D,D18)&gt;1,"D","N")</f>
        <v>D</v>
      </c>
      <c r="M18" s="4">
        <f>COUNTIFS(D:D,D18,F:F,"UPDATED")</f>
        <v>0</v>
      </c>
      <c r="N18" s="4">
        <f>COUNTIFS(D:D,D18,F:F,"NOT UPDATED")</f>
        <v>3</v>
      </c>
      <c r="O18" s="4">
        <f>COUNTIF(D:D,D18)</f>
        <v>3</v>
      </c>
    </row>
    <row r="19" spans="1:15" hidden="1" x14ac:dyDescent="0.25">
      <c r="A19" s="4">
        <v>125</v>
      </c>
      <c r="B19" s="4" t="s">
        <v>10</v>
      </c>
      <c r="C19" s="7">
        <v>45790</v>
      </c>
      <c r="D19" s="5">
        <v>800477897</v>
      </c>
      <c r="E19" s="4" t="e">
        <v>#N/A</v>
      </c>
      <c r="F19" s="4" t="s">
        <v>11</v>
      </c>
      <c r="G19" s="6">
        <v>12830.98</v>
      </c>
      <c r="H19" s="4" t="s">
        <v>12</v>
      </c>
      <c r="I19" s="4" t="s">
        <v>144</v>
      </c>
      <c r="J19" s="6">
        <v>-59.43</v>
      </c>
      <c r="K19" s="6" t="str">
        <f t="shared" si="0"/>
        <v>OC395675X40942-59.43</v>
      </c>
      <c r="L19" s="4" t="str">
        <f>IF(COUNTIF(D:D,D19)&gt;1,"D","N")</f>
        <v>D</v>
      </c>
      <c r="M19" s="4">
        <f>COUNTIFS(D:D,D19,F:F,"UPDATED")</f>
        <v>0</v>
      </c>
      <c r="N19" s="4">
        <f>COUNTIFS(D:D,D19,F:F,"NOT UPDATED")</f>
        <v>3</v>
      </c>
      <c r="O19" s="4">
        <f>COUNTIF(D:D,D19)</f>
        <v>3</v>
      </c>
    </row>
    <row r="20" spans="1:15" hidden="1" x14ac:dyDescent="0.25">
      <c r="A20" s="4">
        <v>131</v>
      </c>
      <c r="B20" s="4" t="s">
        <v>10</v>
      </c>
      <c r="C20" s="7">
        <v>45791</v>
      </c>
      <c r="D20" s="5">
        <v>800481908</v>
      </c>
      <c r="E20" s="4">
        <v>800481908</v>
      </c>
      <c r="F20" s="4" t="s">
        <v>339</v>
      </c>
      <c r="G20" s="6">
        <v>72992.72</v>
      </c>
      <c r="H20" s="4" t="s">
        <v>15</v>
      </c>
      <c r="I20" s="4" t="s">
        <v>145</v>
      </c>
      <c r="J20" s="6">
        <v>37.92</v>
      </c>
      <c r="K20" s="6" t="str">
        <f t="shared" si="0"/>
        <v>OC373729X3551837.92</v>
      </c>
      <c r="L20" s="4" t="str">
        <f>IF(COUNTIF(D:D,D20)&gt;1,"D","N")</f>
        <v>D</v>
      </c>
      <c r="M20" s="4">
        <f>COUNTIFS(D:D,D20,F:F,"UPDATED")</f>
        <v>3</v>
      </c>
      <c r="N20" s="4">
        <f>COUNTIFS(D:D,D20,F:F,"NOT UPDATED")</f>
        <v>0</v>
      </c>
      <c r="O20" s="4">
        <f>COUNTIF(D:D,D20)</f>
        <v>3</v>
      </c>
    </row>
    <row r="21" spans="1:15" hidden="1" x14ac:dyDescent="0.25">
      <c r="A21" s="4">
        <v>133</v>
      </c>
      <c r="B21" s="4" t="s">
        <v>10</v>
      </c>
      <c r="C21" s="7">
        <v>45791</v>
      </c>
      <c r="D21" s="5">
        <v>800481908</v>
      </c>
      <c r="E21" s="4">
        <v>800481908</v>
      </c>
      <c r="F21" s="4" t="s">
        <v>339</v>
      </c>
      <c r="G21" s="6">
        <v>72992.72</v>
      </c>
      <c r="H21" s="4" t="s">
        <v>15</v>
      </c>
      <c r="I21" s="4" t="s">
        <v>146</v>
      </c>
      <c r="J21" s="6">
        <v>6.4</v>
      </c>
      <c r="K21" s="6" t="str">
        <f t="shared" si="0"/>
        <v>OC378975X477606.4</v>
      </c>
      <c r="L21" s="4" t="str">
        <f>IF(COUNTIF(D:D,D21)&gt;1,"D","N")</f>
        <v>D</v>
      </c>
      <c r="M21" s="4">
        <f>COUNTIFS(D:D,D21,F:F,"UPDATED")</f>
        <v>3</v>
      </c>
      <c r="N21" s="4">
        <f>COUNTIFS(D:D,D21,F:F,"NOT UPDATED")</f>
        <v>0</v>
      </c>
      <c r="O21" s="4">
        <f>COUNTIF(D:D,D21)</f>
        <v>3</v>
      </c>
    </row>
    <row r="22" spans="1:15" hidden="1" x14ac:dyDescent="0.25">
      <c r="A22" s="4">
        <v>132</v>
      </c>
      <c r="B22" s="4" t="s">
        <v>10</v>
      </c>
      <c r="C22" s="7">
        <v>45791</v>
      </c>
      <c r="D22" s="5">
        <v>800481908</v>
      </c>
      <c r="E22" s="4">
        <v>800481908</v>
      </c>
      <c r="F22" s="4" t="s">
        <v>339</v>
      </c>
      <c r="G22" s="6">
        <v>72992.72</v>
      </c>
      <c r="H22" s="4" t="s">
        <v>15</v>
      </c>
      <c r="I22" s="4" t="s">
        <v>147</v>
      </c>
      <c r="J22" s="6">
        <v>125.77</v>
      </c>
      <c r="K22" s="6" t="str">
        <f t="shared" si="0"/>
        <v>OC386989X36917125.77</v>
      </c>
      <c r="L22" s="4" t="str">
        <f>IF(COUNTIF(D:D,D22)&gt;1,"D","N")</f>
        <v>D</v>
      </c>
      <c r="M22" s="4">
        <f>COUNTIFS(D:D,D22,F:F,"UPDATED")</f>
        <v>3</v>
      </c>
      <c r="N22" s="4">
        <f>COUNTIFS(D:D,D22,F:F,"NOT UPDATED")</f>
        <v>0</v>
      </c>
      <c r="O22" s="4">
        <f>COUNTIF(D:D,D22)</f>
        <v>3</v>
      </c>
    </row>
    <row r="23" spans="1:15" x14ac:dyDescent="0.25">
      <c r="A23" s="4">
        <v>181</v>
      </c>
      <c r="B23" s="4" t="s">
        <v>94</v>
      </c>
      <c r="C23" s="7">
        <v>45800</v>
      </c>
      <c r="D23" s="5" t="s">
        <v>98</v>
      </c>
      <c r="E23" s="4" t="e">
        <v>#N/A</v>
      </c>
      <c r="F23" s="4" t="s">
        <v>11</v>
      </c>
      <c r="G23" s="6">
        <v>21449.15</v>
      </c>
      <c r="H23" s="4">
        <v>72</v>
      </c>
      <c r="I23" s="4" t="s">
        <v>99</v>
      </c>
      <c r="J23" s="6">
        <v>-69.290000000000006</v>
      </c>
      <c r="K23" s="6" t="str">
        <f>I23&amp;J23</f>
        <v>020223185018K860X00.OC38427X9241-69.29</v>
      </c>
      <c r="L23" s="4" t="str">
        <f>IF(COUNTIF(D:D,D23)&gt;1,"D","N")</f>
        <v>D</v>
      </c>
      <c r="M23" s="4">
        <f>COUNTIFS(D:D,D23,F:F,"UPDATED")</f>
        <v>0</v>
      </c>
      <c r="N23" s="4">
        <f>COUNTIFS(D:D,D23,F:F,"NOT UPDATED")</f>
        <v>3</v>
      </c>
      <c r="O23" s="4">
        <f>COUNTIF(D:D,D23)</f>
        <v>3</v>
      </c>
    </row>
    <row r="24" spans="1:15" x14ac:dyDescent="0.25">
      <c r="A24" s="4">
        <v>183</v>
      </c>
      <c r="B24" s="4" t="s">
        <v>94</v>
      </c>
      <c r="C24" s="7">
        <v>45800</v>
      </c>
      <c r="D24" s="5" t="s">
        <v>98</v>
      </c>
      <c r="E24" s="4" t="e">
        <v>#N/A</v>
      </c>
      <c r="F24" s="4" t="s">
        <v>11</v>
      </c>
      <c r="G24" s="6">
        <v>21449.15</v>
      </c>
      <c r="H24" s="4" t="s">
        <v>97</v>
      </c>
      <c r="I24" s="4" t="s">
        <v>99</v>
      </c>
      <c r="J24" s="6">
        <v>-69.290000000000006</v>
      </c>
      <c r="K24" s="6" t="str">
        <f>I24&amp;J24</f>
        <v>020223185018K860X00.OC38427X9241-69.29</v>
      </c>
      <c r="L24" s="4" t="str">
        <f>IF(COUNTIF(D:D,D24)&gt;1,"D","N")</f>
        <v>D</v>
      </c>
      <c r="M24" s="4">
        <f>COUNTIFS(D:D,D24,F:F,"UPDATED")</f>
        <v>0</v>
      </c>
      <c r="N24" s="4">
        <f>COUNTIFS(D:D,D24,F:F,"NOT UPDATED")</f>
        <v>3</v>
      </c>
      <c r="O24" s="4">
        <f>COUNTIF(D:D,D24)</f>
        <v>3</v>
      </c>
    </row>
    <row r="25" spans="1:15" x14ac:dyDescent="0.25">
      <c r="A25" s="4">
        <v>23</v>
      </c>
      <c r="B25" s="4" t="s">
        <v>94</v>
      </c>
      <c r="C25" s="7">
        <v>45782</v>
      </c>
      <c r="D25" s="5" t="s">
        <v>95</v>
      </c>
      <c r="E25" s="4" t="s">
        <v>95</v>
      </c>
      <c r="F25" s="4" t="s">
        <v>339</v>
      </c>
      <c r="G25" s="6">
        <v>12257.25</v>
      </c>
      <c r="H25" s="4">
        <v>72</v>
      </c>
      <c r="I25" s="4" t="s">
        <v>96</v>
      </c>
      <c r="J25" s="6">
        <v>-77.28</v>
      </c>
      <c r="K25" s="6" t="str">
        <f>I25&amp;J25</f>
        <v>02022320503990D0X00.OC44780X3520-77.28</v>
      </c>
      <c r="L25" s="4" t="str">
        <f>IF(COUNTIF(D:D,D25)&gt;1,"D","N")</f>
        <v>D</v>
      </c>
      <c r="M25" s="4">
        <f>COUNTIFS(D:D,D25,F:F,"UPDATED")</f>
        <v>4</v>
      </c>
      <c r="N25" s="4">
        <f>COUNTIFS(D:D,D25,F:F,"NOT UPDATED")</f>
        <v>0</v>
      </c>
      <c r="O25" s="4">
        <f>COUNTIF(D:D,D25)</f>
        <v>4</v>
      </c>
    </row>
    <row r="26" spans="1:15" x14ac:dyDescent="0.25">
      <c r="A26" s="4">
        <v>25</v>
      </c>
      <c r="B26" s="4" t="s">
        <v>94</v>
      </c>
      <c r="C26" s="7">
        <v>45782</v>
      </c>
      <c r="D26" s="5" t="s">
        <v>95</v>
      </c>
      <c r="E26" s="4" t="s">
        <v>95</v>
      </c>
      <c r="F26" s="4" t="s">
        <v>339</v>
      </c>
      <c r="G26" s="6">
        <v>12257.25</v>
      </c>
      <c r="H26" s="4" t="s">
        <v>97</v>
      </c>
      <c r="I26" s="4" t="s">
        <v>96</v>
      </c>
      <c r="J26" s="6">
        <v>-77.28</v>
      </c>
      <c r="K26" s="6" t="str">
        <f>I26&amp;J26</f>
        <v>02022320503990D0X00.OC44780X3520-77.28</v>
      </c>
      <c r="L26" s="4" t="str">
        <f>IF(COUNTIF(D:D,D26)&gt;1,"D","N")</f>
        <v>D</v>
      </c>
      <c r="M26" s="4">
        <f>COUNTIFS(D:D,D26,F:F,"UPDATED")</f>
        <v>4</v>
      </c>
      <c r="N26" s="4">
        <f>COUNTIFS(D:D,D26,F:F,"NOT UPDATED")</f>
        <v>0</v>
      </c>
      <c r="O26" s="4">
        <f>COUNTIF(D:D,D26)</f>
        <v>4</v>
      </c>
    </row>
    <row r="27" spans="1:15" x14ac:dyDescent="0.25">
      <c r="A27" s="4">
        <v>239</v>
      </c>
      <c r="B27" s="4" t="s">
        <v>94</v>
      </c>
      <c r="C27" s="7">
        <v>45805</v>
      </c>
      <c r="D27" s="5" t="s">
        <v>100</v>
      </c>
      <c r="E27" s="4" t="e">
        <v>#N/A</v>
      </c>
      <c r="F27" s="4" t="s">
        <v>11</v>
      </c>
      <c r="G27" s="6">
        <v>21971.95</v>
      </c>
      <c r="H27" s="4">
        <v>72</v>
      </c>
      <c r="I27" s="4" t="s">
        <v>101</v>
      </c>
      <c r="J27" s="6">
        <v>-163.93</v>
      </c>
      <c r="K27" s="6" t="str">
        <f>I27&amp;J27</f>
        <v>02022320508328D0X00.OC46755X10764-163.93</v>
      </c>
      <c r="L27" s="4" t="str">
        <f>IF(COUNTIF(D:D,D27)&gt;1,"D","N")</f>
        <v>D</v>
      </c>
      <c r="M27" s="4">
        <f>COUNTIFS(D:D,D27,F:F,"UPDATED")</f>
        <v>0</v>
      </c>
      <c r="N27" s="4">
        <f>COUNTIFS(D:D,D27,F:F,"NOT UPDATED")</f>
        <v>5</v>
      </c>
      <c r="O27" s="4">
        <f>COUNTIF(D:D,D27)</f>
        <v>5</v>
      </c>
    </row>
    <row r="28" spans="1:15" x14ac:dyDescent="0.25">
      <c r="A28" s="4">
        <v>241</v>
      </c>
      <c r="B28" s="4" t="s">
        <v>94</v>
      </c>
      <c r="C28" s="7">
        <v>45805</v>
      </c>
      <c r="D28" s="5" t="s">
        <v>100</v>
      </c>
      <c r="E28" s="4" t="e">
        <v>#N/A</v>
      </c>
      <c r="F28" s="4" t="s">
        <v>11</v>
      </c>
      <c r="G28" s="6">
        <v>21971.95</v>
      </c>
      <c r="H28" s="4" t="s">
        <v>97</v>
      </c>
      <c r="I28" s="4" t="s">
        <v>101</v>
      </c>
      <c r="J28" s="6">
        <v>-163.93</v>
      </c>
      <c r="K28" s="6" t="str">
        <f>I28&amp;J28</f>
        <v>02022320508328D0X00.OC46755X10764-163.93</v>
      </c>
      <c r="L28" s="4" t="str">
        <f>IF(COUNTIF(D:D,D28)&gt;1,"D","N")</f>
        <v>D</v>
      </c>
      <c r="M28" s="4">
        <f>COUNTIFS(D:D,D28,F:F,"UPDATED")</f>
        <v>0</v>
      </c>
      <c r="N28" s="4">
        <f>COUNTIFS(D:D,D28,F:F,"NOT UPDATED")</f>
        <v>5</v>
      </c>
      <c r="O28" s="4">
        <f>COUNTIF(D:D,D28)</f>
        <v>5</v>
      </c>
    </row>
    <row r="29" spans="1:15" hidden="1" x14ac:dyDescent="0.25">
      <c r="A29" s="4">
        <v>178</v>
      </c>
      <c r="B29" s="4" t="s">
        <v>10</v>
      </c>
      <c r="C29" s="7">
        <v>45798</v>
      </c>
      <c r="D29" s="5">
        <v>800502501</v>
      </c>
      <c r="E29" s="4">
        <v>800502501</v>
      </c>
      <c r="F29" s="4" t="s">
        <v>339</v>
      </c>
      <c r="G29" s="6">
        <v>76836.63</v>
      </c>
      <c r="H29" s="4" t="s">
        <v>15</v>
      </c>
      <c r="I29" s="4" t="s">
        <v>148</v>
      </c>
      <c r="J29" s="6">
        <v>25.54</v>
      </c>
      <c r="K29" s="6" t="str">
        <f>I29&amp;J29</f>
        <v>OC367471X3301425.54</v>
      </c>
      <c r="L29" s="4" t="str">
        <f>IF(COUNTIF(D:D,D29)&gt;1,"D","N")</f>
        <v>D</v>
      </c>
      <c r="M29" s="4">
        <f>COUNTIFS(D:D,D29,F:F,"UPDATED")</f>
        <v>2</v>
      </c>
      <c r="N29" s="4">
        <f>COUNTIFS(D:D,D29,F:F,"NOT UPDATED")</f>
        <v>0</v>
      </c>
      <c r="O29" s="4">
        <f>COUNTIF(D:D,D29)</f>
        <v>2</v>
      </c>
    </row>
    <row r="30" spans="1:15" hidden="1" x14ac:dyDescent="0.25">
      <c r="A30" s="4">
        <v>179</v>
      </c>
      <c r="B30" s="4" t="s">
        <v>10</v>
      </c>
      <c r="C30" s="7">
        <v>45798</v>
      </c>
      <c r="D30" s="5">
        <v>800502501</v>
      </c>
      <c r="E30" s="4">
        <v>800502501</v>
      </c>
      <c r="F30" s="4" t="s">
        <v>339</v>
      </c>
      <c r="G30" s="6">
        <v>76836.63</v>
      </c>
      <c r="H30" s="4" t="s">
        <v>15</v>
      </c>
      <c r="I30" s="4" t="s">
        <v>149</v>
      </c>
      <c r="J30" s="6">
        <v>103.85</v>
      </c>
      <c r="K30" s="6" t="str">
        <f>I30&amp;J30</f>
        <v>OC391596X15103.85</v>
      </c>
      <c r="L30" s="4" t="str">
        <f>IF(COUNTIF(D:D,D30)&gt;1,"D","N")</f>
        <v>D</v>
      </c>
      <c r="M30" s="4">
        <f>COUNTIFS(D:D,D30,F:F,"UPDATED")</f>
        <v>2</v>
      </c>
      <c r="N30" s="4">
        <f>COUNTIFS(D:D,D30,F:F,"NOT UPDATED")</f>
        <v>0</v>
      </c>
      <c r="O30" s="4">
        <f>COUNTIF(D:D,D30)</f>
        <v>2</v>
      </c>
    </row>
    <row r="31" spans="1:15" hidden="1" x14ac:dyDescent="0.25">
      <c r="A31" s="4">
        <v>208</v>
      </c>
      <c r="B31" s="4" t="s">
        <v>10</v>
      </c>
      <c r="C31" s="7">
        <v>45804</v>
      </c>
      <c r="D31" s="5">
        <v>800512663</v>
      </c>
      <c r="E31" s="4">
        <v>800512663</v>
      </c>
      <c r="F31" s="4" t="s">
        <v>339</v>
      </c>
      <c r="G31" s="6">
        <v>102562.28</v>
      </c>
      <c r="H31" s="4" t="s">
        <v>12</v>
      </c>
      <c r="I31" s="4" t="s">
        <v>150</v>
      </c>
      <c r="J31" s="6">
        <v>-24.49</v>
      </c>
      <c r="K31" s="6" t="str">
        <f>I31&amp;J31</f>
        <v>OC388331X48561-24.49</v>
      </c>
      <c r="L31" s="4" t="str">
        <f>IF(COUNTIF(D:D,D31)&gt;1,"D","N")</f>
        <v>N</v>
      </c>
      <c r="M31" s="4">
        <f>COUNTIFS(D:D,D31,F:F,"UPDATED")</f>
        <v>1</v>
      </c>
      <c r="N31" s="4">
        <f>COUNTIFS(D:D,D31,F:F,"NOT UPDATED")</f>
        <v>0</v>
      </c>
      <c r="O31" s="4">
        <f>COUNTIF(D:D,D31)</f>
        <v>1</v>
      </c>
    </row>
    <row r="32" spans="1:15" hidden="1" x14ac:dyDescent="0.25">
      <c r="A32" s="4">
        <v>244</v>
      </c>
      <c r="B32" s="4" t="s">
        <v>10</v>
      </c>
      <c r="C32" s="7">
        <v>45805</v>
      </c>
      <c r="D32" s="5">
        <v>800517478</v>
      </c>
      <c r="E32" s="4" t="e">
        <v>#N/A</v>
      </c>
      <c r="F32" s="4" t="s">
        <v>11</v>
      </c>
      <c r="G32" s="6">
        <v>28524.37</v>
      </c>
      <c r="H32" s="4" t="s">
        <v>15</v>
      </c>
      <c r="I32" s="4" t="s">
        <v>151</v>
      </c>
      <c r="J32" s="6">
        <v>863.74</v>
      </c>
      <c r="K32" s="6" t="str">
        <f>I32&amp;J32</f>
        <v>ICB18937P41097C42684863.74</v>
      </c>
      <c r="L32" s="4" t="str">
        <f>IF(COUNTIF(D:D,D32)&gt;1,"D","N")</f>
        <v>D</v>
      </c>
      <c r="M32" s="4">
        <f>COUNTIFS(D:D,D32,F:F,"UPDATED")</f>
        <v>0</v>
      </c>
      <c r="N32" s="4">
        <f>COUNTIFS(D:D,D32,F:F,"NOT UPDATED")</f>
        <v>2</v>
      </c>
      <c r="O32" s="4">
        <f>COUNTIF(D:D,D32)</f>
        <v>2</v>
      </c>
    </row>
    <row r="33" spans="1:15" hidden="1" x14ac:dyDescent="0.25">
      <c r="A33" s="4">
        <v>245</v>
      </c>
      <c r="B33" s="4" t="s">
        <v>10</v>
      </c>
      <c r="C33" s="7">
        <v>45805</v>
      </c>
      <c r="D33" s="5">
        <v>800517478</v>
      </c>
      <c r="E33" s="4" t="e">
        <v>#N/A</v>
      </c>
      <c r="F33" s="4" t="s">
        <v>11</v>
      </c>
      <c r="G33" s="6">
        <v>28524.37</v>
      </c>
      <c r="H33" s="4" t="s">
        <v>15</v>
      </c>
      <c r="I33" s="4" t="s">
        <v>152</v>
      </c>
      <c r="J33" s="6">
        <v>492.54</v>
      </c>
      <c r="K33" s="6" t="str">
        <f>I33&amp;J33</f>
        <v>OC220247X27749492.54</v>
      </c>
      <c r="L33" s="4" t="str">
        <f>IF(COUNTIF(D:D,D33)&gt;1,"D","N")</f>
        <v>D</v>
      </c>
      <c r="M33" s="4">
        <f>COUNTIFS(D:D,D33,F:F,"UPDATED")</f>
        <v>0</v>
      </c>
      <c r="N33" s="4">
        <f>COUNTIFS(D:D,D33,F:F,"NOT UPDATED")</f>
        <v>2</v>
      </c>
      <c r="O33" s="4">
        <f>COUNTIF(D:D,D33)</f>
        <v>2</v>
      </c>
    </row>
    <row r="34" spans="1:15" hidden="1" x14ac:dyDescent="0.25">
      <c r="A34" s="4">
        <v>259</v>
      </c>
      <c r="B34" s="4" t="s">
        <v>10</v>
      </c>
      <c r="C34" s="7">
        <v>45806</v>
      </c>
      <c r="D34" s="5">
        <v>800521756</v>
      </c>
      <c r="E34" s="4" t="e">
        <v>#N/A</v>
      </c>
      <c r="F34" s="4" t="s">
        <v>11</v>
      </c>
      <c r="G34" s="6">
        <v>38080.839999999997</v>
      </c>
      <c r="H34" s="4" t="s">
        <v>15</v>
      </c>
      <c r="I34" s="4" t="s">
        <v>153</v>
      </c>
      <c r="J34" s="6">
        <v>97.08</v>
      </c>
      <c r="K34" s="6" t="str">
        <f>I34&amp;J34</f>
        <v>OC339088X4175897.08</v>
      </c>
      <c r="L34" s="4" t="str">
        <f>IF(COUNTIF(D:D,D34)&gt;1,"D","N")</f>
        <v>N</v>
      </c>
      <c r="M34" s="4">
        <f>COUNTIFS(D:D,D34,F:F,"UPDATED")</f>
        <v>0</v>
      </c>
      <c r="N34" s="4">
        <f>COUNTIFS(D:D,D34,F:F,"NOT UPDATED")</f>
        <v>1</v>
      </c>
      <c r="O34" s="4">
        <f>COUNTIF(D:D,D34)</f>
        <v>1</v>
      </c>
    </row>
    <row r="35" spans="1:15" hidden="1" x14ac:dyDescent="0.25">
      <c r="A35" s="4">
        <v>11</v>
      </c>
      <c r="B35" s="4" t="s">
        <v>20</v>
      </c>
      <c r="C35" s="7">
        <v>45779</v>
      </c>
      <c r="D35" s="5">
        <v>158125169250503</v>
      </c>
      <c r="E35" s="4">
        <v>158125169250503</v>
      </c>
      <c r="F35" s="4" t="s">
        <v>339</v>
      </c>
      <c r="G35" s="6">
        <v>278</v>
      </c>
      <c r="H35" s="4" t="s">
        <v>15</v>
      </c>
      <c r="I35" s="4" t="s">
        <v>154</v>
      </c>
      <c r="J35" s="6">
        <v>304.8</v>
      </c>
      <c r="K35" s="6" t="str">
        <f>I35&amp;J35</f>
        <v>POC320416X4029/820243040460756304.8</v>
      </c>
      <c r="L35" s="4" t="str">
        <f>IF(COUNTIF(D:D,D35)&gt;1,"D","N")</f>
        <v>N</v>
      </c>
      <c r="M35" s="4">
        <f>COUNTIFS(D:D,D35,F:F,"UPDATED")</f>
        <v>1</v>
      </c>
      <c r="N35" s="4">
        <f>COUNTIFS(D:D,D35,F:F,"NOT UPDATED")</f>
        <v>0</v>
      </c>
      <c r="O35" s="4">
        <f>COUNTIF(D:D,D35)</f>
        <v>1</v>
      </c>
    </row>
    <row r="36" spans="1:15" hidden="1" x14ac:dyDescent="0.25">
      <c r="A36" s="4">
        <v>18</v>
      </c>
      <c r="B36" s="4" t="s">
        <v>20</v>
      </c>
      <c r="C36" s="7">
        <v>45781</v>
      </c>
      <c r="D36" s="5">
        <v>158206159250505</v>
      </c>
      <c r="E36" s="4" t="e">
        <v>#N/A</v>
      </c>
      <c r="F36" s="4" t="s">
        <v>11</v>
      </c>
      <c r="G36" s="6">
        <v>26735.85</v>
      </c>
      <c r="H36" s="4" t="s">
        <v>15</v>
      </c>
      <c r="I36" s="4" t="s">
        <v>21</v>
      </c>
      <c r="J36" s="6">
        <v>7.77</v>
      </c>
      <c r="K36" s="6" t="str">
        <f>I36&amp;J36</f>
        <v>POC219622X3353/8202408510172717.77</v>
      </c>
      <c r="L36" s="4" t="str">
        <f>IF(COUNTIF(D:D,D36)&gt;1,"D","N")</f>
        <v>D</v>
      </c>
      <c r="M36" s="4">
        <f>COUNTIFS(D:D,D36,F:F,"UPDATED")</f>
        <v>0</v>
      </c>
      <c r="N36" s="4">
        <f>COUNTIFS(D:D,D36,F:F,"NOT UPDATED")</f>
        <v>4</v>
      </c>
      <c r="O36" s="4">
        <f>COUNTIF(D:D,D36)</f>
        <v>4</v>
      </c>
    </row>
    <row r="37" spans="1:15" hidden="1" x14ac:dyDescent="0.25">
      <c r="A37" s="4">
        <v>17</v>
      </c>
      <c r="B37" s="4" t="s">
        <v>20</v>
      </c>
      <c r="C37" s="7">
        <v>45781</v>
      </c>
      <c r="D37" s="5">
        <v>158206159250505</v>
      </c>
      <c r="E37" s="4" t="e">
        <v>#N/A</v>
      </c>
      <c r="F37" s="4" t="s">
        <v>11</v>
      </c>
      <c r="G37" s="6">
        <v>26735.85</v>
      </c>
      <c r="H37" s="4" t="s">
        <v>15</v>
      </c>
      <c r="I37" s="4" t="s">
        <v>22</v>
      </c>
      <c r="J37" s="6">
        <v>18.45</v>
      </c>
      <c r="K37" s="6" t="str">
        <f>I37&amp;J37</f>
        <v>POC320012X19134/82024299042303418.45</v>
      </c>
      <c r="L37" s="4" t="str">
        <f>IF(COUNTIF(D:D,D37)&gt;1,"D","N")</f>
        <v>D</v>
      </c>
      <c r="M37" s="4">
        <f>COUNTIFS(D:D,D37,F:F,"UPDATED")</f>
        <v>0</v>
      </c>
      <c r="N37" s="4">
        <f>COUNTIFS(D:D,D37,F:F,"NOT UPDATED")</f>
        <v>4</v>
      </c>
      <c r="O37" s="4">
        <f>COUNTIF(D:D,D37)</f>
        <v>4</v>
      </c>
    </row>
    <row r="38" spans="1:15" hidden="1" x14ac:dyDescent="0.25">
      <c r="A38" s="4">
        <v>19</v>
      </c>
      <c r="B38" s="4" t="s">
        <v>20</v>
      </c>
      <c r="C38" s="7">
        <v>45781</v>
      </c>
      <c r="D38" s="5">
        <v>158206159250505</v>
      </c>
      <c r="E38" s="4" t="e">
        <v>#N/A</v>
      </c>
      <c r="F38" s="4" t="s">
        <v>11</v>
      </c>
      <c r="G38" s="6">
        <v>26735.85</v>
      </c>
      <c r="H38" s="4" t="s">
        <v>15</v>
      </c>
      <c r="I38" s="4" t="s">
        <v>22</v>
      </c>
      <c r="J38" s="6">
        <v>141.12</v>
      </c>
      <c r="K38" s="6" t="str">
        <f>I38&amp;J38</f>
        <v>POC320012X19134/820242990423034141.12</v>
      </c>
      <c r="L38" s="4" t="str">
        <f>IF(COUNTIF(D:D,D38)&gt;1,"D","N")</f>
        <v>D</v>
      </c>
      <c r="M38" s="4">
        <f>COUNTIFS(D:D,D38,F:F,"UPDATED")</f>
        <v>0</v>
      </c>
      <c r="N38" s="4">
        <f>COUNTIFS(D:D,D38,F:F,"NOT UPDATED")</f>
        <v>4</v>
      </c>
      <c r="O38" s="4">
        <f>COUNTIF(D:D,D38)</f>
        <v>4</v>
      </c>
    </row>
    <row r="39" spans="1:15" hidden="1" x14ac:dyDescent="0.25">
      <c r="A39" s="4">
        <v>20</v>
      </c>
      <c r="B39" s="4" t="s">
        <v>20</v>
      </c>
      <c r="C39" s="7">
        <v>45781</v>
      </c>
      <c r="D39" s="5">
        <v>158206159250505</v>
      </c>
      <c r="E39" s="4" t="e">
        <v>#N/A</v>
      </c>
      <c r="F39" s="4" t="s">
        <v>11</v>
      </c>
      <c r="G39" s="6">
        <v>26735.85</v>
      </c>
      <c r="H39" s="4" t="s">
        <v>15</v>
      </c>
      <c r="I39" s="4" t="s">
        <v>155</v>
      </c>
      <c r="J39" s="6">
        <v>2314.77</v>
      </c>
      <c r="K39" s="6" t="str">
        <f>I39&amp;J39</f>
        <v>POC325315X19134/8202431020277112314.77</v>
      </c>
      <c r="L39" s="4" t="str">
        <f>IF(COUNTIF(D:D,D39)&gt;1,"D","N")</f>
        <v>D</v>
      </c>
      <c r="M39" s="4">
        <f>COUNTIFS(D:D,D39,F:F,"UPDATED")</f>
        <v>0</v>
      </c>
      <c r="N39" s="4">
        <f>COUNTIFS(D:D,D39,F:F,"NOT UPDATED")</f>
        <v>4</v>
      </c>
      <c r="O39" s="4">
        <f>COUNTIF(D:D,D39)</f>
        <v>4</v>
      </c>
    </row>
    <row r="40" spans="1:15" hidden="1" x14ac:dyDescent="0.25">
      <c r="A40" s="4">
        <v>31</v>
      </c>
      <c r="B40" s="4" t="s">
        <v>20</v>
      </c>
      <c r="C40" s="7">
        <v>45782</v>
      </c>
      <c r="D40" s="5">
        <v>158311979250506</v>
      </c>
      <c r="E40" s="4" t="e">
        <v>#N/A</v>
      </c>
      <c r="F40" s="4" t="s">
        <v>11</v>
      </c>
      <c r="G40" s="6">
        <v>9687.77</v>
      </c>
      <c r="H40" s="4" t="s">
        <v>15</v>
      </c>
      <c r="I40" s="4" t="s">
        <v>156</v>
      </c>
      <c r="J40" s="6">
        <v>456.86</v>
      </c>
      <c r="K40" s="6" t="str">
        <f>I40&amp;J40</f>
        <v>POC317719X38567/820243090319248456.86</v>
      </c>
      <c r="L40" s="4" t="str">
        <f>IF(COUNTIF(D:D,D40)&gt;1,"D","N")</f>
        <v>D</v>
      </c>
      <c r="M40" s="4">
        <f>COUNTIFS(D:D,D40,F:F,"UPDATED")</f>
        <v>0</v>
      </c>
      <c r="N40" s="4">
        <f>COUNTIFS(D:D,D40,F:F,"NOT UPDATED")</f>
        <v>2</v>
      </c>
      <c r="O40" s="4">
        <f>COUNTIF(D:D,D40)</f>
        <v>2</v>
      </c>
    </row>
    <row r="41" spans="1:15" hidden="1" x14ac:dyDescent="0.25">
      <c r="A41" s="4">
        <v>32</v>
      </c>
      <c r="B41" s="4" t="s">
        <v>20</v>
      </c>
      <c r="C41" s="7">
        <v>45782</v>
      </c>
      <c r="D41" s="5">
        <v>158311979250506</v>
      </c>
      <c r="E41" s="4" t="e">
        <v>#N/A</v>
      </c>
      <c r="F41" s="4" t="s">
        <v>11</v>
      </c>
      <c r="G41" s="6">
        <v>9687.77</v>
      </c>
      <c r="H41" s="4" t="s">
        <v>15</v>
      </c>
      <c r="I41" s="4" t="s">
        <v>157</v>
      </c>
      <c r="J41" s="6">
        <v>408.4</v>
      </c>
      <c r="K41" s="6" t="str">
        <f>I41&amp;J41</f>
        <v>POC324287X40446/820243060396676408.4</v>
      </c>
      <c r="L41" s="4" t="str">
        <f>IF(COUNTIF(D:D,D41)&gt;1,"D","N")</f>
        <v>D</v>
      </c>
      <c r="M41" s="4">
        <f>COUNTIFS(D:D,D41,F:F,"UPDATED")</f>
        <v>0</v>
      </c>
      <c r="N41" s="4">
        <f>COUNTIFS(D:D,D41,F:F,"NOT UPDATED")</f>
        <v>2</v>
      </c>
      <c r="O41" s="4">
        <f>COUNTIF(D:D,D41)</f>
        <v>2</v>
      </c>
    </row>
    <row r="42" spans="1:15" hidden="1" x14ac:dyDescent="0.25">
      <c r="A42" s="4">
        <v>80</v>
      </c>
      <c r="B42" s="4" t="s">
        <v>20</v>
      </c>
      <c r="C42" s="7">
        <v>45785</v>
      </c>
      <c r="D42" s="5">
        <v>158576953250509</v>
      </c>
      <c r="E42" s="4" t="e">
        <v>#N/A</v>
      </c>
      <c r="F42" s="4" t="s">
        <v>11</v>
      </c>
      <c r="G42" s="6">
        <v>5098.9799999999996</v>
      </c>
      <c r="H42" s="4" t="s">
        <v>15</v>
      </c>
      <c r="I42" s="4" t="s">
        <v>158</v>
      </c>
      <c r="J42" s="6">
        <v>34.479999999999997</v>
      </c>
      <c r="K42" s="6" t="str">
        <f>I42&amp;J42</f>
        <v>POC366668X24835/82025029010972034.48</v>
      </c>
      <c r="L42" s="4" t="str">
        <f>IF(COUNTIF(D:D,D42)&gt;1,"D","N")</f>
        <v>N</v>
      </c>
      <c r="M42" s="4">
        <f>COUNTIFS(D:D,D42,F:F,"UPDATED")</f>
        <v>0</v>
      </c>
      <c r="N42" s="4">
        <f>COUNTIFS(D:D,D42,F:F,"NOT UPDATED")</f>
        <v>1</v>
      </c>
      <c r="O42" s="4">
        <f>COUNTIF(D:D,D42)</f>
        <v>1</v>
      </c>
    </row>
    <row r="43" spans="1:15" hidden="1" x14ac:dyDescent="0.25">
      <c r="A43" s="4">
        <v>122</v>
      </c>
      <c r="B43" s="4" t="s">
        <v>20</v>
      </c>
      <c r="C43" s="7">
        <v>45790</v>
      </c>
      <c r="D43" s="5">
        <v>158959429250514</v>
      </c>
      <c r="E43" s="4">
        <v>158959429250514</v>
      </c>
      <c r="F43" s="4" t="s">
        <v>339</v>
      </c>
      <c r="G43" s="6">
        <v>2760.03</v>
      </c>
      <c r="H43" s="4" t="s">
        <v>15</v>
      </c>
      <c r="I43" s="4" t="s">
        <v>159</v>
      </c>
      <c r="J43" s="6">
        <v>65.69</v>
      </c>
      <c r="K43" s="6" t="str">
        <f>I43&amp;J43</f>
        <v>POC245020X9270/82024143055650865.69</v>
      </c>
      <c r="L43" s="4" t="str">
        <f>IF(COUNTIF(D:D,D43)&gt;1,"D","N")</f>
        <v>N</v>
      </c>
      <c r="M43" s="4">
        <f>COUNTIFS(D:D,D43,F:F,"UPDATED")</f>
        <v>1</v>
      </c>
      <c r="N43" s="4">
        <f>COUNTIFS(D:D,D43,F:F,"NOT UPDATED")</f>
        <v>0</v>
      </c>
      <c r="O43" s="4">
        <f>COUNTIF(D:D,D43)</f>
        <v>1</v>
      </c>
    </row>
    <row r="44" spans="1:15" hidden="1" x14ac:dyDescent="0.25">
      <c r="A44" s="4">
        <v>335</v>
      </c>
      <c r="B44" s="4" t="s">
        <v>71</v>
      </c>
      <c r="D44" s="5">
        <v>159168273250517</v>
      </c>
      <c r="E44" s="4">
        <v>159168273250517</v>
      </c>
      <c r="F44" s="4" t="s">
        <v>339</v>
      </c>
      <c r="G44" s="6">
        <v>2902.68</v>
      </c>
      <c r="H44" s="4" t="s">
        <v>15</v>
      </c>
      <c r="I44" s="4" t="s">
        <v>160</v>
      </c>
      <c r="J44" s="6">
        <v>33.200000000000003</v>
      </c>
      <c r="K44" s="6" t="str">
        <f>I44&amp;J44</f>
        <v>POC351950X43002/82025029010976433.2</v>
      </c>
      <c r="L44" s="4" t="str">
        <f>IF(COUNTIF(D:D,D44)&gt;1,"D","N")</f>
        <v>D</v>
      </c>
      <c r="M44" s="4">
        <f>COUNTIFS(D:D,D44,F:F,"UPDATED")</f>
        <v>2</v>
      </c>
      <c r="N44" s="4">
        <f>COUNTIFS(D:D,D44,F:F,"NOT UPDATED")</f>
        <v>0</v>
      </c>
      <c r="O44" s="4">
        <f>COUNTIF(D:D,D44)</f>
        <v>2</v>
      </c>
    </row>
    <row r="45" spans="1:15" hidden="1" x14ac:dyDescent="0.25">
      <c r="A45" s="4">
        <v>336</v>
      </c>
      <c r="B45" s="4" t="s">
        <v>71</v>
      </c>
      <c r="D45" s="5">
        <v>159168273250517</v>
      </c>
      <c r="E45" s="4">
        <v>159168273250517</v>
      </c>
      <c r="F45" s="4" t="s">
        <v>339</v>
      </c>
      <c r="G45" s="6">
        <v>2902.68</v>
      </c>
      <c r="H45" s="4" t="s">
        <v>15</v>
      </c>
      <c r="I45" s="4" t="s">
        <v>161</v>
      </c>
      <c r="J45" s="6">
        <v>31.6</v>
      </c>
      <c r="K45" s="6" t="str">
        <f>I45&amp;J45</f>
        <v>POC368351X5796/82025031017787031.6</v>
      </c>
      <c r="L45" s="4" t="str">
        <f>IF(COUNTIF(D:D,D45)&gt;1,"D","N")</f>
        <v>D</v>
      </c>
      <c r="M45" s="4">
        <f>COUNTIFS(D:D,D45,F:F,"UPDATED")</f>
        <v>2</v>
      </c>
      <c r="N45" s="4">
        <f>COUNTIFS(D:D,D45,F:F,"NOT UPDATED")</f>
        <v>0</v>
      </c>
      <c r="O45" s="4">
        <f>COUNTIF(D:D,D45)</f>
        <v>2</v>
      </c>
    </row>
    <row r="46" spans="1:15" x14ac:dyDescent="0.25">
      <c r="A46" s="4">
        <v>171</v>
      </c>
      <c r="B46" s="4" t="s">
        <v>10</v>
      </c>
      <c r="C46" s="7">
        <v>45797</v>
      </c>
      <c r="D46" s="5">
        <v>800498552</v>
      </c>
      <c r="E46" s="4" t="e">
        <v>#N/A</v>
      </c>
      <c r="F46" s="4" t="s">
        <v>11</v>
      </c>
      <c r="G46" s="6">
        <v>51306.75</v>
      </c>
      <c r="H46" s="4" t="s">
        <v>15</v>
      </c>
      <c r="I46" s="4" t="s">
        <v>16</v>
      </c>
      <c r="J46" s="6">
        <v>31.08</v>
      </c>
      <c r="K46" s="6" t="str">
        <f>I46&amp;J46</f>
        <v>52933AG31.08</v>
      </c>
      <c r="L46" s="4" t="str">
        <f>IF(COUNTIF(D:D,D46)&gt;1,"D","N")</f>
        <v>D</v>
      </c>
      <c r="M46" s="4">
        <f>COUNTIFS(D:D,D46,F:F,"UPDATED")</f>
        <v>0</v>
      </c>
      <c r="N46" s="4">
        <f>COUNTIFS(D:D,D46,F:F,"NOT UPDATED")</f>
        <v>4</v>
      </c>
      <c r="O46" s="4">
        <f>COUNTIF(D:D,D46)</f>
        <v>4</v>
      </c>
    </row>
    <row r="47" spans="1:15" x14ac:dyDescent="0.25">
      <c r="A47" s="4">
        <v>321</v>
      </c>
      <c r="B47" s="4" t="s">
        <v>87</v>
      </c>
      <c r="D47" s="5" t="s">
        <v>90</v>
      </c>
      <c r="E47" s="4" t="e">
        <v>#N/A</v>
      </c>
      <c r="F47" s="4" t="s">
        <v>11</v>
      </c>
      <c r="G47" s="6" t="s">
        <v>91</v>
      </c>
      <c r="H47" s="4" t="s">
        <v>15</v>
      </c>
      <c r="I47" s="4" t="s">
        <v>16</v>
      </c>
      <c r="J47" s="6">
        <v>31.08</v>
      </c>
      <c r="K47" s="6" t="str">
        <f>I47&amp;J47</f>
        <v>52933AG31.08</v>
      </c>
      <c r="L47" s="4" t="str">
        <f>IF(COUNTIF(D:D,D47)&gt;1,"D","N")</f>
        <v>D</v>
      </c>
      <c r="M47" s="4">
        <f>COUNTIFS(D:D,D47,F:F,"UPDATED")</f>
        <v>0</v>
      </c>
      <c r="N47" s="4">
        <f>COUNTIFS(D:D,D47,F:F,"NOT UPDATED")</f>
        <v>4</v>
      </c>
      <c r="O47" s="4">
        <f>COUNTIF(D:D,D47)</f>
        <v>4</v>
      </c>
    </row>
    <row r="48" spans="1:15" x14ac:dyDescent="0.25">
      <c r="A48" s="4">
        <v>169</v>
      </c>
      <c r="B48" s="4" t="s">
        <v>10</v>
      </c>
      <c r="C48" s="7">
        <v>45797</v>
      </c>
      <c r="D48" s="5">
        <v>800498552</v>
      </c>
      <c r="E48" s="4" t="e">
        <v>#N/A</v>
      </c>
      <c r="F48" s="4" t="s">
        <v>11</v>
      </c>
      <c r="G48" s="6">
        <v>51306.75</v>
      </c>
      <c r="H48" s="4" t="s">
        <v>15</v>
      </c>
      <c r="I48" s="4" t="s">
        <v>17</v>
      </c>
      <c r="J48" s="6">
        <v>0.32</v>
      </c>
      <c r="K48" s="6" t="str">
        <f>I48&amp;J48</f>
        <v>52933AG-I0.32</v>
      </c>
      <c r="L48" s="4" t="str">
        <f>IF(COUNTIF(D:D,D48)&gt;1,"D","N")</f>
        <v>D</v>
      </c>
      <c r="M48" s="4">
        <f>COUNTIFS(D:D,D48,F:F,"UPDATED")</f>
        <v>0</v>
      </c>
      <c r="N48" s="4">
        <f>COUNTIFS(D:D,D48,F:F,"NOT UPDATED")</f>
        <v>4</v>
      </c>
      <c r="O48" s="4">
        <f>COUNTIF(D:D,D48)</f>
        <v>4</v>
      </c>
    </row>
    <row r="49" spans="1:15" hidden="1" x14ac:dyDescent="0.25">
      <c r="A49" s="4">
        <v>184</v>
      </c>
      <c r="B49" s="4" t="s">
        <v>20</v>
      </c>
      <c r="C49" s="7">
        <v>45800</v>
      </c>
      <c r="D49" s="5">
        <v>159614579250524</v>
      </c>
      <c r="E49" s="4" t="e">
        <v>#N/A</v>
      </c>
      <c r="F49" s="4" t="s">
        <v>11</v>
      </c>
      <c r="G49" s="6" t="s">
        <v>25</v>
      </c>
      <c r="H49" s="4" t="s">
        <v>15</v>
      </c>
      <c r="I49" s="4" t="s">
        <v>26</v>
      </c>
      <c r="J49" s="6">
        <v>15.85</v>
      </c>
      <c r="K49" s="6" t="str">
        <f>I49&amp;J49</f>
        <v>POC363356X46020/82025022015170515.85</v>
      </c>
      <c r="L49" s="4" t="str">
        <f>IF(COUNTIF(D:D,D49)&gt;1,"D","N")</f>
        <v>N</v>
      </c>
      <c r="M49" s="4">
        <f>COUNTIFS(D:D,D49,F:F,"UPDATED")</f>
        <v>0</v>
      </c>
      <c r="N49" s="4">
        <f>COUNTIFS(D:D,D49,F:F,"NOT UPDATED")</f>
        <v>1</v>
      </c>
      <c r="O49" s="4">
        <f>COUNTIF(D:D,D49)</f>
        <v>1</v>
      </c>
    </row>
    <row r="50" spans="1:15" hidden="1" x14ac:dyDescent="0.25">
      <c r="A50" s="4">
        <v>187</v>
      </c>
      <c r="B50" s="4" t="s">
        <v>20</v>
      </c>
      <c r="C50" s="7">
        <v>45802</v>
      </c>
      <c r="D50" s="5">
        <v>159796743250526</v>
      </c>
      <c r="E50" s="4" t="e">
        <v>#N/A</v>
      </c>
      <c r="F50" s="4" t="s">
        <v>11</v>
      </c>
      <c r="G50" s="6">
        <v>0.91</v>
      </c>
      <c r="H50" s="4" t="s">
        <v>15</v>
      </c>
      <c r="I50" s="4" t="s">
        <v>162</v>
      </c>
      <c r="J50" s="6">
        <v>28.54</v>
      </c>
      <c r="K50" s="6" t="str">
        <f>I50&amp;J50</f>
        <v>POC230578X5630/82024110001801428.54</v>
      </c>
      <c r="L50" s="4" t="str">
        <f>IF(COUNTIF(D:D,D50)&gt;1,"D","N")</f>
        <v>N</v>
      </c>
      <c r="M50" s="4">
        <f>COUNTIFS(D:D,D50,F:F,"UPDATED")</f>
        <v>0</v>
      </c>
      <c r="N50" s="4">
        <f>COUNTIFS(D:D,D50,F:F,"NOT UPDATED")</f>
        <v>1</v>
      </c>
      <c r="O50" s="4">
        <f>COUNTIF(D:D,D50)</f>
        <v>1</v>
      </c>
    </row>
    <row r="51" spans="1:15" hidden="1" x14ac:dyDescent="0.25">
      <c r="A51" s="4">
        <v>265</v>
      </c>
      <c r="B51" s="4" t="s">
        <v>20</v>
      </c>
      <c r="C51" s="7">
        <v>45807</v>
      </c>
      <c r="D51" s="5">
        <v>160121383250531</v>
      </c>
      <c r="E51" s="4" t="e">
        <v>#N/A</v>
      </c>
      <c r="F51" s="4" t="s">
        <v>11</v>
      </c>
      <c r="G51" s="6">
        <v>8708.89</v>
      </c>
      <c r="H51" s="4" t="s">
        <v>15</v>
      </c>
      <c r="I51" s="4" t="s">
        <v>163</v>
      </c>
      <c r="J51" s="6">
        <v>1767.8</v>
      </c>
      <c r="K51" s="6" t="str">
        <f>I51&amp;J51</f>
        <v>POC290827X34809/8202424119955571767.8</v>
      </c>
      <c r="L51" s="4" t="str">
        <f>IF(COUNTIF(D:D,D51)&gt;1,"D","N")</f>
        <v>N</v>
      </c>
      <c r="M51" s="4">
        <f>COUNTIFS(D:D,D51,F:F,"UPDATED")</f>
        <v>0</v>
      </c>
      <c r="N51" s="4">
        <f>COUNTIFS(D:D,D51,F:F,"NOT UPDATED")</f>
        <v>1</v>
      </c>
      <c r="O51" s="4">
        <f>COUNTIF(D:D,D51)</f>
        <v>1</v>
      </c>
    </row>
    <row r="52" spans="1:15" hidden="1" x14ac:dyDescent="0.25">
      <c r="A52" s="4">
        <v>272</v>
      </c>
      <c r="B52" s="4" t="s">
        <v>20</v>
      </c>
      <c r="C52" s="7">
        <v>45808</v>
      </c>
      <c r="D52" s="5">
        <v>160228787250601</v>
      </c>
      <c r="E52" s="4" t="e">
        <v>#N/A</v>
      </c>
      <c r="F52" s="4" t="s">
        <v>11</v>
      </c>
      <c r="G52" s="6">
        <v>36371.69</v>
      </c>
      <c r="H52" s="4" t="s">
        <v>15</v>
      </c>
      <c r="I52" s="4" t="s">
        <v>164</v>
      </c>
      <c r="J52" s="6">
        <v>104.73</v>
      </c>
      <c r="K52" s="6" t="str">
        <f>I52&amp;J52</f>
        <v>POC206220X15538/820240530189452104.73</v>
      </c>
      <c r="L52" s="4" t="str">
        <f>IF(COUNTIF(D:D,D52)&gt;1,"D","N")</f>
        <v>D</v>
      </c>
      <c r="M52" s="4">
        <f>COUNTIFS(D:D,D52,F:F,"UPDATED")</f>
        <v>0</v>
      </c>
      <c r="N52" s="4">
        <f>COUNTIFS(D:D,D52,F:F,"NOT UPDATED")</f>
        <v>2</v>
      </c>
      <c r="O52" s="4">
        <f>COUNTIF(D:D,D52)</f>
        <v>2</v>
      </c>
    </row>
    <row r="53" spans="1:15" hidden="1" x14ac:dyDescent="0.25">
      <c r="A53" s="4">
        <v>273</v>
      </c>
      <c r="B53" s="4" t="s">
        <v>20</v>
      </c>
      <c r="C53" s="7">
        <v>45808</v>
      </c>
      <c r="D53" s="5">
        <v>160228787250601</v>
      </c>
      <c r="E53" s="4" t="e">
        <v>#N/A</v>
      </c>
      <c r="F53" s="4" t="s">
        <v>11</v>
      </c>
      <c r="G53" s="6">
        <v>36371.69</v>
      </c>
      <c r="H53" s="4" t="s">
        <v>15</v>
      </c>
      <c r="I53" s="4" t="s">
        <v>165</v>
      </c>
      <c r="J53" s="6">
        <v>67.23</v>
      </c>
      <c r="K53" s="6" t="str">
        <f>I53&amp;J53</f>
        <v>POC214026X20804/82024071029076667.23</v>
      </c>
      <c r="L53" s="4" t="str">
        <f>IF(COUNTIF(D:D,D53)&gt;1,"D","N")</f>
        <v>D</v>
      </c>
      <c r="M53" s="4">
        <f>COUNTIFS(D:D,D53,F:F,"UPDATED")</f>
        <v>0</v>
      </c>
      <c r="N53" s="4">
        <f>COUNTIFS(D:D,D53,F:F,"NOT UPDATED")</f>
        <v>2</v>
      </c>
      <c r="O53" s="4">
        <f>COUNTIF(D:D,D53)</f>
        <v>2</v>
      </c>
    </row>
    <row r="54" spans="1:15" hidden="1" x14ac:dyDescent="0.25">
      <c r="A54" s="4">
        <v>46</v>
      </c>
      <c r="B54" s="4" t="s">
        <v>27</v>
      </c>
      <c r="C54" s="7">
        <v>45783</v>
      </c>
      <c r="D54" s="5">
        <v>825121000420921</v>
      </c>
      <c r="E54" s="4" t="e">
        <v>#N/A</v>
      </c>
      <c r="F54" s="4" t="s">
        <v>11</v>
      </c>
      <c r="G54" s="6">
        <v>1000.95</v>
      </c>
      <c r="H54" s="4" t="s">
        <v>15</v>
      </c>
      <c r="I54" s="4" t="s">
        <v>28</v>
      </c>
      <c r="J54" s="6">
        <v>10.9</v>
      </c>
      <c r="K54" s="6" t="str">
        <f>I54&amp;J54</f>
        <v>E1TYKKLM50000-OC386382X21476-2025-03-0310.9</v>
      </c>
      <c r="L54" s="4" t="str">
        <f>IF(COUNTIF(D:D,D54)&gt;1,"D","N")</f>
        <v>D</v>
      </c>
      <c r="M54" s="4">
        <f>COUNTIFS(D:D,D54,F:F,"UPDATED")</f>
        <v>0</v>
      </c>
      <c r="N54" s="4">
        <f>COUNTIFS(D:D,D54,F:F,"NOT UPDATED")</f>
        <v>2</v>
      </c>
      <c r="O54" s="4">
        <f>COUNTIF(D:D,D54)</f>
        <v>2</v>
      </c>
    </row>
    <row r="55" spans="1:15" hidden="1" x14ac:dyDescent="0.25">
      <c r="A55" s="4">
        <v>47</v>
      </c>
      <c r="B55" s="4" t="s">
        <v>27</v>
      </c>
      <c r="C55" s="7">
        <v>45783</v>
      </c>
      <c r="D55" s="5">
        <v>825121000420921</v>
      </c>
      <c r="E55" s="4" t="e">
        <v>#N/A</v>
      </c>
      <c r="F55" s="4" t="s">
        <v>11</v>
      </c>
      <c r="G55" s="6">
        <v>1000.95</v>
      </c>
      <c r="H55" s="4" t="s">
        <v>29</v>
      </c>
      <c r="I55" s="4" t="s">
        <v>28</v>
      </c>
      <c r="J55" s="4" t="s">
        <v>30</v>
      </c>
      <c r="K55" s="6" t="str">
        <f>I55&amp;J55</f>
        <v>E1TYKKLM50000-OC386382X21476-2025-03-03($10.90</v>
      </c>
      <c r="L55" s="4" t="str">
        <f>IF(COUNTIF(D:D,D55)&gt;1,"D","N")</f>
        <v>D</v>
      </c>
      <c r="M55" s="4">
        <f>COUNTIFS(D:D,D55,F:F,"UPDATED")</f>
        <v>0</v>
      </c>
      <c r="N55" s="4">
        <f>COUNTIFS(D:D,D55,F:F,"NOT UPDATED")</f>
        <v>2</v>
      </c>
      <c r="O55" s="4">
        <f>COUNTIF(D:D,D55)</f>
        <v>2</v>
      </c>
    </row>
    <row r="56" spans="1:15" hidden="1" x14ac:dyDescent="0.25">
      <c r="A56" s="4">
        <v>42</v>
      </c>
      <c r="B56" s="4" t="s">
        <v>27</v>
      </c>
      <c r="C56" s="7">
        <v>45783</v>
      </c>
      <c r="D56" s="5">
        <v>825121000420929</v>
      </c>
      <c r="E56" s="4" t="e">
        <v>#N/A</v>
      </c>
      <c r="F56" s="4" t="s">
        <v>11</v>
      </c>
      <c r="G56" s="6">
        <v>5137.2</v>
      </c>
      <c r="H56" s="4" t="s">
        <v>15</v>
      </c>
      <c r="I56" s="4" t="s">
        <v>31</v>
      </c>
      <c r="J56" s="6">
        <v>55.46</v>
      </c>
      <c r="K56" s="6" t="str">
        <f>I56&amp;J56</f>
        <v>E3ADJQMV90000-OC367174X39290-2025-01-2255.46</v>
      </c>
      <c r="L56" s="4" t="str">
        <f>IF(COUNTIF(D:D,D56)&gt;1,"D","N")</f>
        <v>D</v>
      </c>
      <c r="M56" s="4">
        <f>COUNTIFS(D:D,D56,F:F,"UPDATED")</f>
        <v>0</v>
      </c>
      <c r="N56" s="4">
        <f>COUNTIFS(D:D,D56,F:F,"NOT UPDATED")</f>
        <v>11</v>
      </c>
      <c r="O56" s="4">
        <f>COUNTIF(D:D,D56)</f>
        <v>11</v>
      </c>
    </row>
    <row r="57" spans="1:15" hidden="1" x14ac:dyDescent="0.25">
      <c r="A57" s="4">
        <v>43</v>
      </c>
      <c r="B57" s="4" t="s">
        <v>27</v>
      </c>
      <c r="C57" s="7">
        <v>45783</v>
      </c>
      <c r="D57" s="5">
        <v>825121000420929</v>
      </c>
      <c r="E57" s="4" t="e">
        <v>#N/A</v>
      </c>
      <c r="F57" s="4" t="s">
        <v>11</v>
      </c>
      <c r="G57" s="6">
        <v>5137.2</v>
      </c>
      <c r="H57" s="4" t="s">
        <v>29</v>
      </c>
      <c r="I57" s="4" t="s">
        <v>31</v>
      </c>
      <c r="J57" s="6">
        <v>-55.46</v>
      </c>
      <c r="K57" s="6" t="str">
        <f>I57&amp;J57</f>
        <v>E3ADJQMV90000-OC367174X39290-2025-01-22-55.46</v>
      </c>
      <c r="L57" s="4" t="str">
        <f>IF(COUNTIF(D:D,D57)&gt;1,"D","N")</f>
        <v>D</v>
      </c>
      <c r="M57" s="4">
        <f>COUNTIFS(D:D,D57,F:F,"UPDATED")</f>
        <v>0</v>
      </c>
      <c r="N57" s="4">
        <f>COUNTIFS(D:D,D57,F:F,"NOT UPDATED")</f>
        <v>11</v>
      </c>
      <c r="O57" s="4">
        <f>COUNTIF(D:D,D57)</f>
        <v>11</v>
      </c>
    </row>
    <row r="58" spans="1:15" hidden="1" x14ac:dyDescent="0.25">
      <c r="A58" s="4">
        <v>44</v>
      </c>
      <c r="B58" s="4" t="s">
        <v>27</v>
      </c>
      <c r="C58" s="7">
        <v>45783</v>
      </c>
      <c r="D58" s="5">
        <v>825121000420929</v>
      </c>
      <c r="E58" s="4" t="e">
        <v>#N/A</v>
      </c>
      <c r="F58" s="4" t="s">
        <v>11</v>
      </c>
      <c r="G58" s="6">
        <v>5137.2</v>
      </c>
      <c r="H58" s="4" t="s">
        <v>15</v>
      </c>
      <c r="I58" s="4" t="s">
        <v>32</v>
      </c>
      <c r="J58" s="6">
        <v>118.85</v>
      </c>
      <c r="K58" s="6" t="str">
        <f>I58&amp;J58</f>
        <v>E3ADJQMV90002-OC367174X39290-2025-01-22118.85</v>
      </c>
      <c r="L58" s="4" t="str">
        <f>IF(COUNTIF(D:D,D58)&gt;1,"D","N")</f>
        <v>D</v>
      </c>
      <c r="M58" s="4">
        <f>COUNTIFS(D:D,D58,F:F,"UPDATED")</f>
        <v>0</v>
      </c>
      <c r="N58" s="4">
        <f>COUNTIFS(D:D,D58,F:F,"NOT UPDATED")</f>
        <v>11</v>
      </c>
      <c r="O58" s="4">
        <f>COUNTIF(D:D,D58)</f>
        <v>11</v>
      </c>
    </row>
    <row r="59" spans="1:15" hidden="1" x14ac:dyDescent="0.25">
      <c r="A59" s="4">
        <v>45</v>
      </c>
      <c r="B59" s="4" t="s">
        <v>27</v>
      </c>
      <c r="C59" s="7">
        <v>45783</v>
      </c>
      <c r="D59" s="5">
        <v>825121000420929</v>
      </c>
      <c r="E59" s="4" t="e">
        <v>#N/A</v>
      </c>
      <c r="F59" s="4" t="s">
        <v>11</v>
      </c>
      <c r="G59" s="6">
        <v>5137.2</v>
      </c>
      <c r="H59" s="4" t="s">
        <v>29</v>
      </c>
      <c r="I59" s="4" t="s">
        <v>32</v>
      </c>
      <c r="J59" s="6">
        <v>-118.85</v>
      </c>
      <c r="K59" s="6" t="str">
        <f>I59&amp;J59</f>
        <v>E3ADJQMV90002-OC367174X39290-2025-01-22-118.85</v>
      </c>
      <c r="L59" s="4" t="str">
        <f>IF(COUNTIF(D:D,D59)&gt;1,"D","N")</f>
        <v>D</v>
      </c>
      <c r="M59" s="4">
        <f>COUNTIFS(D:D,D59,F:F,"UPDATED")</f>
        <v>0</v>
      </c>
      <c r="N59" s="4">
        <f>COUNTIFS(D:D,D59,F:F,"NOT UPDATED")</f>
        <v>11</v>
      </c>
      <c r="O59" s="4">
        <f>COUNTIF(D:D,D59)</f>
        <v>11</v>
      </c>
    </row>
    <row r="60" spans="1:15" hidden="1" x14ac:dyDescent="0.25">
      <c r="A60" s="4">
        <v>36</v>
      </c>
      <c r="B60" s="4" t="s">
        <v>27</v>
      </c>
      <c r="C60" s="7">
        <v>45783</v>
      </c>
      <c r="D60" s="5">
        <v>825121000420929</v>
      </c>
      <c r="E60" s="4" t="e">
        <v>#N/A</v>
      </c>
      <c r="F60" s="4" t="s">
        <v>11</v>
      </c>
      <c r="G60" s="6">
        <v>5137.2</v>
      </c>
      <c r="H60" s="4" t="s">
        <v>15</v>
      </c>
      <c r="I60" s="4" t="s">
        <v>33</v>
      </c>
      <c r="J60" s="6">
        <v>10.9</v>
      </c>
      <c r="K60" s="6" t="str">
        <f>I60&amp;J60</f>
        <v>EQJNMR04Q0000-OC397759X40766-2025-03-2410.9</v>
      </c>
      <c r="L60" s="4" t="str">
        <f>IF(COUNTIF(D:D,D60)&gt;1,"D","N")</f>
        <v>D</v>
      </c>
      <c r="M60" s="4">
        <f>COUNTIFS(D:D,D60,F:F,"UPDATED")</f>
        <v>0</v>
      </c>
      <c r="N60" s="4">
        <f>COUNTIFS(D:D,D60,F:F,"NOT UPDATED")</f>
        <v>11</v>
      </c>
      <c r="O60" s="4">
        <f>COUNTIF(D:D,D60)</f>
        <v>11</v>
      </c>
    </row>
    <row r="61" spans="1:15" hidden="1" x14ac:dyDescent="0.25">
      <c r="A61" s="4">
        <v>37</v>
      </c>
      <c r="B61" s="4" t="s">
        <v>27</v>
      </c>
      <c r="C61" s="7">
        <v>45783</v>
      </c>
      <c r="D61" s="5">
        <v>825121000420929</v>
      </c>
      <c r="E61" s="4" t="e">
        <v>#N/A</v>
      </c>
      <c r="F61" s="4" t="s">
        <v>11</v>
      </c>
      <c r="G61" s="6">
        <v>5137.2</v>
      </c>
      <c r="H61" s="4" t="s">
        <v>29</v>
      </c>
      <c r="I61" s="4" t="s">
        <v>33</v>
      </c>
      <c r="J61" s="6">
        <v>-10.9</v>
      </c>
      <c r="K61" s="6" t="str">
        <f>I61&amp;J61</f>
        <v>EQJNMR04Q0000-OC397759X40766-2025-03-24-10.9</v>
      </c>
      <c r="L61" s="4" t="str">
        <f>IF(COUNTIF(D:D,D61)&gt;1,"D","N")</f>
        <v>D</v>
      </c>
      <c r="M61" s="4">
        <f>COUNTIFS(D:D,D61,F:F,"UPDATED")</f>
        <v>0</v>
      </c>
      <c r="N61" s="4">
        <f>COUNTIFS(D:D,D61,F:F,"NOT UPDATED")</f>
        <v>11</v>
      </c>
      <c r="O61" s="4">
        <f>COUNTIF(D:D,D61)</f>
        <v>11</v>
      </c>
    </row>
    <row r="62" spans="1:15" hidden="1" x14ac:dyDescent="0.25">
      <c r="A62" s="4">
        <v>38</v>
      </c>
      <c r="B62" s="4" t="s">
        <v>27</v>
      </c>
      <c r="C62" s="7">
        <v>45783</v>
      </c>
      <c r="D62" s="5">
        <v>825121000420929</v>
      </c>
      <c r="E62" s="4" t="e">
        <v>#N/A</v>
      </c>
      <c r="F62" s="4" t="s">
        <v>11</v>
      </c>
      <c r="G62" s="6">
        <v>5137.2</v>
      </c>
      <c r="H62" s="4" t="s">
        <v>15</v>
      </c>
      <c r="I62" s="4" t="s">
        <v>34</v>
      </c>
      <c r="J62" s="6">
        <v>10.9</v>
      </c>
      <c r="K62" s="6" t="str">
        <f>I62&amp;J62</f>
        <v>EX37KFCC10000-OC385494X46897-2025-03-0110.9</v>
      </c>
      <c r="L62" s="4" t="str">
        <f>IF(COUNTIF(D:D,D62)&gt;1,"D","N")</f>
        <v>D</v>
      </c>
      <c r="M62" s="4">
        <f>COUNTIFS(D:D,D62,F:F,"UPDATED")</f>
        <v>0</v>
      </c>
      <c r="N62" s="4">
        <f>COUNTIFS(D:D,D62,F:F,"NOT UPDATED")</f>
        <v>11</v>
      </c>
      <c r="O62" s="4">
        <f>COUNTIF(D:D,D62)</f>
        <v>11</v>
      </c>
    </row>
    <row r="63" spans="1:15" hidden="1" x14ac:dyDescent="0.25">
      <c r="A63" s="4">
        <v>39</v>
      </c>
      <c r="B63" s="4" t="s">
        <v>27</v>
      </c>
      <c r="C63" s="7">
        <v>45783</v>
      </c>
      <c r="D63" s="5">
        <v>825121000420929</v>
      </c>
      <c r="E63" s="4" t="e">
        <v>#N/A</v>
      </c>
      <c r="F63" s="4" t="s">
        <v>11</v>
      </c>
      <c r="G63" s="6">
        <v>5137.2</v>
      </c>
      <c r="H63" s="4" t="s">
        <v>29</v>
      </c>
      <c r="I63" s="4" t="s">
        <v>34</v>
      </c>
      <c r="J63" s="6">
        <v>-10.9</v>
      </c>
      <c r="K63" s="6" t="str">
        <f>I63&amp;J63</f>
        <v>EX37KFCC10000-OC385494X46897-2025-03-01-10.9</v>
      </c>
      <c r="L63" s="4" t="str">
        <f>IF(COUNTIF(D:D,D63)&gt;1,"D","N")</f>
        <v>D</v>
      </c>
      <c r="M63" s="4">
        <f>COUNTIFS(D:D,D63,F:F,"UPDATED")</f>
        <v>0</v>
      </c>
      <c r="N63" s="4">
        <f>COUNTIFS(D:D,D63,F:F,"NOT UPDATED")</f>
        <v>11</v>
      </c>
      <c r="O63" s="4">
        <f>COUNTIF(D:D,D63)</f>
        <v>11</v>
      </c>
    </row>
    <row r="64" spans="1:15" hidden="1" x14ac:dyDescent="0.25">
      <c r="A64" s="4">
        <v>40</v>
      </c>
      <c r="B64" s="4" t="s">
        <v>27</v>
      </c>
      <c r="C64" s="7">
        <v>45783</v>
      </c>
      <c r="D64" s="5">
        <v>825121000420929</v>
      </c>
      <c r="E64" s="4" t="e">
        <v>#N/A</v>
      </c>
      <c r="F64" s="4" t="s">
        <v>11</v>
      </c>
      <c r="G64" s="6">
        <v>5137.2</v>
      </c>
      <c r="H64" s="4" t="s">
        <v>15</v>
      </c>
      <c r="I64" s="4" t="s">
        <v>35</v>
      </c>
      <c r="J64" s="6">
        <v>197.62</v>
      </c>
      <c r="K64" s="6" t="str">
        <f>I64&amp;J64</f>
        <v>EYFDHKRR80002-OC343611X27371-2024-12-03197.62</v>
      </c>
      <c r="L64" s="4" t="str">
        <f>IF(COUNTIF(D:D,D64)&gt;1,"D","N")</f>
        <v>D</v>
      </c>
      <c r="M64" s="4">
        <f>COUNTIFS(D:D,D64,F:F,"UPDATED")</f>
        <v>0</v>
      </c>
      <c r="N64" s="4">
        <f>COUNTIFS(D:D,D64,F:F,"NOT UPDATED")</f>
        <v>11</v>
      </c>
      <c r="O64" s="4">
        <f>COUNTIF(D:D,D64)</f>
        <v>11</v>
      </c>
    </row>
    <row r="65" spans="1:15" hidden="1" x14ac:dyDescent="0.25">
      <c r="A65" s="4">
        <v>41</v>
      </c>
      <c r="B65" s="4" t="s">
        <v>27</v>
      </c>
      <c r="C65" s="7">
        <v>45783</v>
      </c>
      <c r="D65" s="5">
        <v>825121000420929</v>
      </c>
      <c r="E65" s="4" t="e">
        <v>#N/A</v>
      </c>
      <c r="F65" s="4" t="s">
        <v>11</v>
      </c>
      <c r="G65" s="6">
        <v>5137.2</v>
      </c>
      <c r="H65" s="4" t="s">
        <v>29</v>
      </c>
      <c r="I65" s="4" t="s">
        <v>35</v>
      </c>
      <c r="J65" s="6">
        <v>-197.62</v>
      </c>
      <c r="K65" s="6" t="str">
        <f>I65&amp;J65</f>
        <v>EYFDHKRR80002-OC343611X27371-2024-12-03-197.62</v>
      </c>
      <c r="L65" s="4" t="str">
        <f>IF(COUNTIF(D:D,D65)&gt;1,"D","N")</f>
        <v>D</v>
      </c>
      <c r="M65" s="4">
        <f>COUNTIFS(D:D,D65,F:F,"UPDATED")</f>
        <v>0</v>
      </c>
      <c r="N65" s="4">
        <f>COUNTIFS(D:D,D65,F:F,"NOT UPDATED")</f>
        <v>11</v>
      </c>
      <c r="O65" s="4">
        <f>COUNTIF(D:D,D65)</f>
        <v>11</v>
      </c>
    </row>
    <row r="66" spans="1:15" hidden="1" x14ac:dyDescent="0.25">
      <c r="A66" s="4">
        <v>35</v>
      </c>
      <c r="B66" s="4" t="s">
        <v>27</v>
      </c>
      <c r="C66" s="7">
        <v>45783</v>
      </c>
      <c r="D66" s="5">
        <v>825121000420929</v>
      </c>
      <c r="E66" s="4" t="e">
        <v>#N/A</v>
      </c>
      <c r="F66" s="4" t="s">
        <v>11</v>
      </c>
      <c r="G66" s="6">
        <v>5137.2</v>
      </c>
      <c r="H66" s="4" t="s">
        <v>12</v>
      </c>
      <c r="I66" s="4">
        <v>925120000269239</v>
      </c>
      <c r="J66" s="6">
        <v>393.73</v>
      </c>
      <c r="K66" s="6" t="str">
        <f>I66&amp;J66</f>
        <v>925120000269239393.73</v>
      </c>
      <c r="L66" s="4" t="str">
        <f>IF(COUNTIF(D:D,D66)&gt;1,"D","N")</f>
        <v>D</v>
      </c>
      <c r="M66" s="4">
        <f>COUNTIFS(D:D,D66,F:F,"UPDATED")</f>
        <v>0</v>
      </c>
      <c r="N66" s="4">
        <f>COUNTIFS(D:D,D66,F:F,"NOT UPDATED")</f>
        <v>11</v>
      </c>
      <c r="O66" s="4">
        <f>COUNTIF(D:D,D66)</f>
        <v>11</v>
      </c>
    </row>
    <row r="67" spans="1:15" hidden="1" x14ac:dyDescent="0.25">
      <c r="A67" s="4">
        <v>81</v>
      </c>
      <c r="B67" s="4" t="s">
        <v>27</v>
      </c>
      <c r="C67" s="7">
        <v>45786</v>
      </c>
      <c r="D67" s="5">
        <v>825126000043087</v>
      </c>
      <c r="E67" s="4" t="e">
        <v>#N/A</v>
      </c>
      <c r="F67" s="4" t="s">
        <v>11</v>
      </c>
      <c r="G67" s="6">
        <v>44.88</v>
      </c>
      <c r="H67" s="4" t="s">
        <v>12</v>
      </c>
      <c r="I67" s="4">
        <v>925125000400651</v>
      </c>
      <c r="J67" s="6">
        <v>9.26</v>
      </c>
      <c r="K67" s="6" t="str">
        <f>I67&amp;J67</f>
        <v>9251250004006519.26</v>
      </c>
      <c r="L67" s="4" t="str">
        <f>IF(COUNTIF(D:D,D67)&gt;1,"D","N")</f>
        <v>D</v>
      </c>
      <c r="M67" s="4">
        <f>COUNTIFS(D:D,D67,F:F,"UPDATED")</f>
        <v>0</v>
      </c>
      <c r="N67" s="4">
        <f>COUNTIFS(D:D,D67,F:F,"NOT UPDATED")</f>
        <v>3</v>
      </c>
      <c r="O67" s="4">
        <f>COUNTIF(D:D,D67)</f>
        <v>3</v>
      </c>
    </row>
    <row r="68" spans="1:15" hidden="1" x14ac:dyDescent="0.25">
      <c r="A68" s="4">
        <v>82</v>
      </c>
      <c r="B68" s="4" t="s">
        <v>27</v>
      </c>
      <c r="C68" s="7">
        <v>45786</v>
      </c>
      <c r="D68" s="5">
        <v>825126000043087</v>
      </c>
      <c r="E68" s="4" t="e">
        <v>#N/A</v>
      </c>
      <c r="F68" s="4" t="s">
        <v>11</v>
      </c>
      <c r="G68" s="6">
        <v>44.88</v>
      </c>
      <c r="H68" s="4" t="s">
        <v>15</v>
      </c>
      <c r="I68" s="4" t="s">
        <v>36</v>
      </c>
      <c r="J68" s="6">
        <v>9.26</v>
      </c>
      <c r="K68" s="6" t="str">
        <f>I68&amp;J68</f>
        <v>ESPDKSY1P0000-OC393234X47041-2025-03-149.26</v>
      </c>
      <c r="L68" s="4" t="str">
        <f>IF(COUNTIF(D:D,D68)&gt;1,"D","N")</f>
        <v>D</v>
      </c>
      <c r="M68" s="4">
        <f>COUNTIFS(D:D,D68,F:F,"UPDATED")</f>
        <v>0</v>
      </c>
      <c r="N68" s="4">
        <f>COUNTIFS(D:D,D68,F:F,"NOT UPDATED")</f>
        <v>3</v>
      </c>
      <c r="O68" s="4">
        <f>COUNTIF(D:D,D68)</f>
        <v>3</v>
      </c>
    </row>
    <row r="69" spans="1:15" hidden="1" x14ac:dyDescent="0.25">
      <c r="A69" s="4">
        <v>83</v>
      </c>
      <c r="B69" s="4" t="s">
        <v>27</v>
      </c>
      <c r="C69" s="7">
        <v>45786</v>
      </c>
      <c r="D69" s="5">
        <v>825126000043087</v>
      </c>
      <c r="E69" s="4" t="e">
        <v>#N/A</v>
      </c>
      <c r="F69" s="4" t="s">
        <v>11</v>
      </c>
      <c r="G69" s="6">
        <v>44.88</v>
      </c>
      <c r="H69" s="4" t="s">
        <v>29</v>
      </c>
      <c r="I69" s="4" t="s">
        <v>36</v>
      </c>
      <c r="J69" s="6">
        <v>-9.26</v>
      </c>
      <c r="K69" s="6" t="str">
        <f>I69&amp;J69</f>
        <v>ESPDKSY1P0000-OC393234X47041-2025-03-14-9.26</v>
      </c>
      <c r="L69" s="4" t="str">
        <f>IF(COUNTIF(D:D,D69)&gt;1,"D","N")</f>
        <v>D</v>
      </c>
      <c r="M69" s="4">
        <f>COUNTIFS(D:D,D69,F:F,"UPDATED")</f>
        <v>0</v>
      </c>
      <c r="N69" s="4">
        <f>COUNTIFS(D:D,D69,F:F,"NOT UPDATED")</f>
        <v>3</v>
      </c>
      <c r="O69" s="4">
        <f>COUNTIF(D:D,D69)</f>
        <v>3</v>
      </c>
    </row>
    <row r="70" spans="1:15" hidden="1" x14ac:dyDescent="0.25">
      <c r="A70" s="4">
        <v>94</v>
      </c>
      <c r="B70" s="4" t="s">
        <v>27</v>
      </c>
      <c r="C70" s="7">
        <v>45790</v>
      </c>
      <c r="D70" s="5">
        <v>825128000304748</v>
      </c>
      <c r="E70" s="4" t="e">
        <v>#N/A</v>
      </c>
      <c r="F70" s="4" t="s">
        <v>11</v>
      </c>
      <c r="G70" s="6">
        <v>799.61</v>
      </c>
      <c r="H70" s="4" t="s">
        <v>15</v>
      </c>
      <c r="I70" s="4" t="s">
        <v>37</v>
      </c>
      <c r="J70" s="6">
        <v>292.86</v>
      </c>
      <c r="K70" s="6" t="str">
        <f>I70&amp;J70</f>
        <v>EMTYLW89N0000-OC375975X21706-2025-02-11292.86</v>
      </c>
      <c r="L70" s="4" t="str">
        <f>IF(COUNTIF(D:D,D70)&gt;1,"D","N")</f>
        <v>D</v>
      </c>
      <c r="M70" s="4">
        <f>COUNTIFS(D:D,D70,F:F,"UPDATED")</f>
        <v>0</v>
      </c>
      <c r="N70" s="4">
        <f>COUNTIFS(D:D,D70,F:F,"NOT UPDATED")</f>
        <v>4</v>
      </c>
      <c r="O70" s="4">
        <f>COUNTIF(D:D,D70)</f>
        <v>4</v>
      </c>
    </row>
    <row r="71" spans="1:15" hidden="1" x14ac:dyDescent="0.25">
      <c r="A71" s="4">
        <v>95</v>
      </c>
      <c r="B71" s="4" t="s">
        <v>27</v>
      </c>
      <c r="C71" s="7">
        <v>45790</v>
      </c>
      <c r="D71" s="5">
        <v>825128000304748</v>
      </c>
      <c r="E71" s="4" t="e">
        <v>#N/A</v>
      </c>
      <c r="F71" s="4" t="s">
        <v>11</v>
      </c>
      <c r="G71" s="6">
        <v>799.61</v>
      </c>
      <c r="H71" s="4" t="s">
        <v>29</v>
      </c>
      <c r="I71" s="4" t="s">
        <v>37</v>
      </c>
      <c r="J71" s="6">
        <v>-292.86</v>
      </c>
      <c r="K71" s="6" t="str">
        <f>I71&amp;J71</f>
        <v>EMTYLW89N0000-OC375975X21706-2025-02-11-292.86</v>
      </c>
      <c r="L71" s="4" t="str">
        <f>IF(COUNTIF(D:D,D71)&gt;1,"D","N")</f>
        <v>D</v>
      </c>
      <c r="M71" s="4">
        <f>COUNTIFS(D:D,D71,F:F,"UPDATED")</f>
        <v>0</v>
      </c>
      <c r="N71" s="4">
        <f>COUNTIFS(D:D,D71,F:F,"NOT UPDATED")</f>
        <v>4</v>
      </c>
      <c r="O71" s="4">
        <f>COUNTIF(D:D,D71)</f>
        <v>4</v>
      </c>
    </row>
    <row r="72" spans="1:15" hidden="1" x14ac:dyDescent="0.25">
      <c r="A72" s="4">
        <v>96</v>
      </c>
      <c r="B72" s="4" t="s">
        <v>27</v>
      </c>
      <c r="C72" s="7">
        <v>45790</v>
      </c>
      <c r="D72" s="5">
        <v>825128000304748</v>
      </c>
      <c r="E72" s="4" t="e">
        <v>#N/A</v>
      </c>
      <c r="F72" s="4" t="s">
        <v>11</v>
      </c>
      <c r="G72" s="6">
        <v>799.61</v>
      </c>
      <c r="H72" s="4" t="s">
        <v>15</v>
      </c>
      <c r="I72" s="4" t="s">
        <v>38</v>
      </c>
      <c r="J72" s="6">
        <v>10.9</v>
      </c>
      <c r="K72" s="6" t="str">
        <f>I72&amp;J72</f>
        <v>ETADKR5LL0000-OC390072X47800-2025-03-1010.9</v>
      </c>
      <c r="L72" s="4" t="str">
        <f>IF(COUNTIF(D:D,D72)&gt;1,"D","N")</f>
        <v>D</v>
      </c>
      <c r="M72" s="4">
        <f>COUNTIFS(D:D,D72,F:F,"UPDATED")</f>
        <v>0</v>
      </c>
      <c r="N72" s="4">
        <f>COUNTIFS(D:D,D72,F:F,"NOT UPDATED")</f>
        <v>4</v>
      </c>
      <c r="O72" s="4">
        <f>COUNTIF(D:D,D72)</f>
        <v>4</v>
      </c>
    </row>
    <row r="73" spans="1:15" hidden="1" x14ac:dyDescent="0.25">
      <c r="A73" s="4">
        <v>97</v>
      </c>
      <c r="B73" s="4" t="s">
        <v>27</v>
      </c>
      <c r="C73" s="7">
        <v>45790</v>
      </c>
      <c r="D73" s="5">
        <v>825128000304748</v>
      </c>
      <c r="E73" s="4" t="e">
        <v>#N/A</v>
      </c>
      <c r="F73" s="4" t="s">
        <v>11</v>
      </c>
      <c r="G73" s="6">
        <v>799.61</v>
      </c>
      <c r="H73" s="4" t="s">
        <v>29</v>
      </c>
      <c r="I73" s="4" t="s">
        <v>38</v>
      </c>
      <c r="J73" s="6">
        <v>-10.9</v>
      </c>
      <c r="K73" s="6" t="str">
        <f>I73&amp;J73</f>
        <v>ETADKR5LL0000-OC390072X47800-2025-03-10-10.9</v>
      </c>
      <c r="L73" s="4" t="str">
        <f>IF(COUNTIF(D:D,D73)&gt;1,"D","N")</f>
        <v>D</v>
      </c>
      <c r="M73" s="4">
        <f>COUNTIFS(D:D,D73,F:F,"UPDATED")</f>
        <v>0</v>
      </c>
      <c r="N73" s="4">
        <f>COUNTIFS(D:D,D73,F:F,"NOT UPDATED")</f>
        <v>4</v>
      </c>
      <c r="O73" s="4">
        <f>COUNTIF(D:D,D73)</f>
        <v>4</v>
      </c>
    </row>
    <row r="74" spans="1:15" hidden="1" x14ac:dyDescent="0.25">
      <c r="A74" s="4">
        <v>118</v>
      </c>
      <c r="B74" s="4" t="s">
        <v>27</v>
      </c>
      <c r="C74" s="7">
        <v>45790</v>
      </c>
      <c r="D74" s="5">
        <v>825128000304842</v>
      </c>
      <c r="E74" s="4" t="e">
        <v>#N/A</v>
      </c>
      <c r="F74" s="4" t="s">
        <v>11</v>
      </c>
      <c r="G74" s="6">
        <v>20582.919999999998</v>
      </c>
      <c r="H74" s="4" t="s">
        <v>15</v>
      </c>
      <c r="I74" s="4" t="s">
        <v>39</v>
      </c>
      <c r="J74" s="6">
        <v>8.7200000000000006</v>
      </c>
      <c r="K74" s="6" t="str">
        <f>I74&amp;J74</f>
        <v>E1TYKW8M90000-OC394424X48818-2025-03-188.72</v>
      </c>
      <c r="L74" s="4" t="str">
        <f>IF(COUNTIF(D:D,D74)&gt;1,"D","N")</f>
        <v>D</v>
      </c>
      <c r="M74" s="4">
        <f>COUNTIFS(D:D,D74,F:F,"UPDATED")</f>
        <v>0</v>
      </c>
      <c r="N74" s="4">
        <f>COUNTIFS(D:D,D74,F:F,"NOT UPDATED")</f>
        <v>22</v>
      </c>
      <c r="O74" s="4">
        <f>COUNTIF(D:D,D74)</f>
        <v>22</v>
      </c>
    </row>
    <row r="75" spans="1:15" hidden="1" x14ac:dyDescent="0.25">
      <c r="A75" s="4">
        <v>119</v>
      </c>
      <c r="B75" s="4" t="s">
        <v>27</v>
      </c>
      <c r="C75" s="7">
        <v>45790</v>
      </c>
      <c r="D75" s="5">
        <v>825128000304842</v>
      </c>
      <c r="E75" s="4" t="e">
        <v>#N/A</v>
      </c>
      <c r="F75" s="4" t="s">
        <v>11</v>
      </c>
      <c r="G75" s="6">
        <v>20582.919999999998</v>
      </c>
      <c r="H75" s="4" t="s">
        <v>29</v>
      </c>
      <c r="I75" s="4" t="s">
        <v>39</v>
      </c>
      <c r="J75" s="6">
        <v>-8.7200000000000006</v>
      </c>
      <c r="K75" s="6" t="str">
        <f>I75&amp;J75</f>
        <v>E1TYKW8M90000-OC394424X48818-2025-03-18-8.72</v>
      </c>
      <c r="L75" s="4" t="str">
        <f>IF(COUNTIF(D:D,D75)&gt;1,"D","N")</f>
        <v>D</v>
      </c>
      <c r="M75" s="4">
        <f>COUNTIFS(D:D,D75,F:F,"UPDATED")</f>
        <v>0</v>
      </c>
      <c r="N75" s="4">
        <f>COUNTIFS(D:D,D75,F:F,"NOT UPDATED")</f>
        <v>22</v>
      </c>
      <c r="O75" s="4">
        <f>COUNTIF(D:D,D75)</f>
        <v>22</v>
      </c>
    </row>
    <row r="76" spans="1:15" hidden="1" x14ac:dyDescent="0.25">
      <c r="A76" s="4">
        <v>98</v>
      </c>
      <c r="B76" s="4" t="s">
        <v>27</v>
      </c>
      <c r="C76" s="7">
        <v>45790</v>
      </c>
      <c r="D76" s="5">
        <v>825128000304842</v>
      </c>
      <c r="E76" s="4" t="e">
        <v>#N/A</v>
      </c>
      <c r="F76" s="4" t="s">
        <v>11</v>
      </c>
      <c r="G76" s="6">
        <v>20582.919999999998</v>
      </c>
      <c r="H76" s="4" t="s">
        <v>15</v>
      </c>
      <c r="I76" s="4" t="s">
        <v>40</v>
      </c>
      <c r="J76" s="6">
        <v>446.9</v>
      </c>
      <c r="K76" s="6" t="str">
        <f>I76&amp;J76</f>
        <v>ECJNK5GL00000-OC360562X21611-2025-01-09446.9</v>
      </c>
      <c r="L76" s="4" t="str">
        <f>IF(COUNTIF(D:D,D76)&gt;1,"D","N")</f>
        <v>D</v>
      </c>
      <c r="M76" s="4">
        <f>COUNTIFS(D:D,D76,F:F,"UPDATED")</f>
        <v>0</v>
      </c>
      <c r="N76" s="4">
        <f>COUNTIFS(D:D,D76,F:F,"NOT UPDATED")</f>
        <v>22</v>
      </c>
      <c r="O76" s="4">
        <f>COUNTIF(D:D,D76)</f>
        <v>22</v>
      </c>
    </row>
    <row r="77" spans="1:15" hidden="1" x14ac:dyDescent="0.25">
      <c r="A77" s="4">
        <v>99</v>
      </c>
      <c r="B77" s="4" t="s">
        <v>27</v>
      </c>
      <c r="C77" s="7">
        <v>45790</v>
      </c>
      <c r="D77" s="5">
        <v>825128000304842</v>
      </c>
      <c r="E77" s="4" t="e">
        <v>#N/A</v>
      </c>
      <c r="F77" s="4" t="s">
        <v>11</v>
      </c>
      <c r="G77" s="6">
        <v>20582.919999999998</v>
      </c>
      <c r="H77" s="4" t="s">
        <v>29</v>
      </c>
      <c r="I77" s="4" t="s">
        <v>40</v>
      </c>
      <c r="J77" s="6">
        <v>-446.9</v>
      </c>
      <c r="K77" s="6" t="str">
        <f>I77&amp;J77</f>
        <v>ECJNK5GL00000-OC360562X21611-2025-01-09-446.9</v>
      </c>
      <c r="L77" s="4" t="str">
        <f>IF(COUNTIF(D:D,D77)&gt;1,"D","N")</f>
        <v>D</v>
      </c>
      <c r="M77" s="4">
        <f>COUNTIFS(D:D,D77,F:F,"UPDATED")</f>
        <v>0</v>
      </c>
      <c r="N77" s="4">
        <f>COUNTIFS(D:D,D77,F:F,"NOT UPDATED")</f>
        <v>22</v>
      </c>
      <c r="O77" s="4">
        <f>COUNTIF(D:D,D77)</f>
        <v>22</v>
      </c>
    </row>
    <row r="78" spans="1:15" hidden="1" x14ac:dyDescent="0.25">
      <c r="A78" s="4">
        <v>100</v>
      </c>
      <c r="B78" s="4" t="s">
        <v>27</v>
      </c>
      <c r="C78" s="7">
        <v>45790</v>
      </c>
      <c r="D78" s="5">
        <v>825128000304842</v>
      </c>
      <c r="E78" s="4" t="e">
        <v>#N/A</v>
      </c>
      <c r="F78" s="4" t="s">
        <v>11</v>
      </c>
      <c r="G78" s="6">
        <v>20582.919999999998</v>
      </c>
      <c r="H78" s="4" t="s">
        <v>15</v>
      </c>
      <c r="I78" s="4" t="s">
        <v>41</v>
      </c>
      <c r="J78" s="6">
        <v>10.9</v>
      </c>
      <c r="K78" s="6" t="str">
        <f>I78&amp;J78</f>
        <v>EG37L9NDV0000-OC389191X47593-2025-03-0710.9</v>
      </c>
      <c r="L78" s="4" t="str">
        <f>IF(COUNTIF(D:D,D78)&gt;1,"D","N")</f>
        <v>D</v>
      </c>
      <c r="M78" s="4">
        <f>COUNTIFS(D:D,D78,F:F,"UPDATED")</f>
        <v>0</v>
      </c>
      <c r="N78" s="4">
        <f>COUNTIFS(D:D,D78,F:F,"NOT UPDATED")</f>
        <v>22</v>
      </c>
      <c r="O78" s="4">
        <f>COUNTIF(D:D,D78)</f>
        <v>22</v>
      </c>
    </row>
    <row r="79" spans="1:15" hidden="1" x14ac:dyDescent="0.25">
      <c r="A79" s="4">
        <v>101</v>
      </c>
      <c r="B79" s="4" t="s">
        <v>27</v>
      </c>
      <c r="C79" s="7">
        <v>45790</v>
      </c>
      <c r="D79" s="5">
        <v>825128000304842</v>
      </c>
      <c r="E79" s="4" t="e">
        <v>#N/A</v>
      </c>
      <c r="F79" s="4" t="s">
        <v>11</v>
      </c>
      <c r="G79" s="6">
        <v>20582.919999999998</v>
      </c>
      <c r="H79" s="4" t="s">
        <v>29</v>
      </c>
      <c r="I79" s="4" t="s">
        <v>41</v>
      </c>
      <c r="J79" s="6">
        <v>-10.9</v>
      </c>
      <c r="K79" s="6" t="str">
        <f>I79&amp;J79</f>
        <v>EG37L9NDV0000-OC389191X47593-2025-03-07-10.9</v>
      </c>
      <c r="L79" s="4" t="str">
        <f>IF(COUNTIF(D:D,D79)&gt;1,"D","N")</f>
        <v>D</v>
      </c>
      <c r="M79" s="4">
        <f>COUNTIFS(D:D,D79,F:F,"UPDATED")</f>
        <v>0</v>
      </c>
      <c r="N79" s="4">
        <f>COUNTIFS(D:D,D79,F:F,"NOT UPDATED")</f>
        <v>22</v>
      </c>
      <c r="O79" s="4">
        <f>COUNTIF(D:D,D79)</f>
        <v>22</v>
      </c>
    </row>
    <row r="80" spans="1:15" hidden="1" x14ac:dyDescent="0.25">
      <c r="A80" s="4">
        <v>102</v>
      </c>
      <c r="B80" s="4" t="s">
        <v>27</v>
      </c>
      <c r="C80" s="7">
        <v>45790</v>
      </c>
      <c r="D80" s="5">
        <v>825128000304842</v>
      </c>
      <c r="E80" s="4" t="e">
        <v>#N/A</v>
      </c>
      <c r="F80" s="4" t="s">
        <v>11</v>
      </c>
      <c r="G80" s="6">
        <v>20582.919999999998</v>
      </c>
      <c r="H80" s="4" t="s">
        <v>15</v>
      </c>
      <c r="I80" s="4" t="s">
        <v>42</v>
      </c>
      <c r="J80" s="6">
        <v>22.35</v>
      </c>
      <c r="K80" s="6" t="str">
        <f>I80&amp;J80</f>
        <v>EHFDK807K0000-OC363821X45413-2025-01-0522.35</v>
      </c>
      <c r="L80" s="4" t="str">
        <f>IF(COUNTIF(D:D,D80)&gt;1,"D","N")</f>
        <v>D</v>
      </c>
      <c r="M80" s="4">
        <f>COUNTIFS(D:D,D80,F:F,"UPDATED")</f>
        <v>0</v>
      </c>
      <c r="N80" s="4">
        <f>COUNTIFS(D:D,D80,F:F,"NOT UPDATED")</f>
        <v>22</v>
      </c>
      <c r="O80" s="4">
        <f>COUNTIF(D:D,D80)</f>
        <v>22</v>
      </c>
    </row>
    <row r="81" spans="1:15" hidden="1" x14ac:dyDescent="0.25">
      <c r="A81" s="4">
        <v>103</v>
      </c>
      <c r="B81" s="4" t="s">
        <v>27</v>
      </c>
      <c r="C81" s="7">
        <v>45790</v>
      </c>
      <c r="D81" s="5">
        <v>825128000304842</v>
      </c>
      <c r="E81" s="4" t="e">
        <v>#N/A</v>
      </c>
      <c r="F81" s="4" t="s">
        <v>11</v>
      </c>
      <c r="G81" s="6">
        <v>20582.919999999998</v>
      </c>
      <c r="H81" s="4" t="s">
        <v>29</v>
      </c>
      <c r="I81" s="4" t="s">
        <v>42</v>
      </c>
      <c r="J81" s="6">
        <v>-22.35</v>
      </c>
      <c r="K81" s="6" t="str">
        <f>I81&amp;J81</f>
        <v>EHFDK807K0000-OC363821X45413-2025-01-05-22.35</v>
      </c>
      <c r="L81" s="4" t="str">
        <f>IF(COUNTIF(D:D,D81)&gt;1,"D","N")</f>
        <v>D</v>
      </c>
      <c r="M81" s="4">
        <f>COUNTIFS(D:D,D81,F:F,"UPDATED")</f>
        <v>0</v>
      </c>
      <c r="N81" s="4">
        <f>COUNTIFS(D:D,D81,F:F,"NOT UPDATED")</f>
        <v>22</v>
      </c>
      <c r="O81" s="4">
        <f>COUNTIF(D:D,D81)</f>
        <v>22</v>
      </c>
    </row>
    <row r="82" spans="1:15" hidden="1" x14ac:dyDescent="0.25">
      <c r="A82" s="4">
        <v>104</v>
      </c>
      <c r="B82" s="4" t="s">
        <v>27</v>
      </c>
      <c r="C82" s="7">
        <v>45790</v>
      </c>
      <c r="D82" s="5">
        <v>825128000304842</v>
      </c>
      <c r="E82" s="4" t="e">
        <v>#N/A</v>
      </c>
      <c r="F82" s="4" t="s">
        <v>11</v>
      </c>
      <c r="G82" s="6">
        <v>20582.919999999998</v>
      </c>
      <c r="H82" s="4" t="s">
        <v>15</v>
      </c>
      <c r="I82" s="4" t="s">
        <v>43</v>
      </c>
      <c r="J82" s="6">
        <v>10.9</v>
      </c>
      <c r="K82" s="6" t="str">
        <f>I82&amp;J82</f>
        <v>EMTYL8XSS0000-OC385428X17897-2025-03-0110.9</v>
      </c>
      <c r="L82" s="4" t="str">
        <f>IF(COUNTIF(D:D,D82)&gt;1,"D","N")</f>
        <v>D</v>
      </c>
      <c r="M82" s="4">
        <f>COUNTIFS(D:D,D82,F:F,"UPDATED")</f>
        <v>0</v>
      </c>
      <c r="N82" s="4">
        <f>COUNTIFS(D:D,D82,F:F,"NOT UPDATED")</f>
        <v>22</v>
      </c>
      <c r="O82" s="4">
        <f>COUNTIF(D:D,D82)</f>
        <v>22</v>
      </c>
    </row>
    <row r="83" spans="1:15" hidden="1" x14ac:dyDescent="0.25">
      <c r="A83" s="4">
        <v>105</v>
      </c>
      <c r="B83" s="4" t="s">
        <v>27</v>
      </c>
      <c r="C83" s="7">
        <v>45790</v>
      </c>
      <c r="D83" s="5">
        <v>825128000304842</v>
      </c>
      <c r="E83" s="4" t="e">
        <v>#N/A</v>
      </c>
      <c r="F83" s="4" t="s">
        <v>11</v>
      </c>
      <c r="G83" s="6">
        <v>20582.919999999998</v>
      </c>
      <c r="H83" s="4" t="s">
        <v>29</v>
      </c>
      <c r="I83" s="4" t="s">
        <v>43</v>
      </c>
      <c r="J83" s="6">
        <v>-10.9</v>
      </c>
      <c r="K83" s="6" t="str">
        <f>I83&amp;J83</f>
        <v>EMTYL8XSS0000-OC385428X17897-2025-03-01-10.9</v>
      </c>
      <c r="L83" s="4" t="str">
        <f>IF(COUNTIF(D:D,D83)&gt;1,"D","N")</f>
        <v>D</v>
      </c>
      <c r="M83" s="4">
        <f>COUNTIFS(D:D,D83,F:F,"UPDATED")</f>
        <v>0</v>
      </c>
      <c r="N83" s="4">
        <f>COUNTIFS(D:D,D83,F:F,"NOT UPDATED")</f>
        <v>22</v>
      </c>
      <c r="O83" s="4">
        <f>COUNTIF(D:D,D83)</f>
        <v>22</v>
      </c>
    </row>
    <row r="84" spans="1:15" hidden="1" x14ac:dyDescent="0.25">
      <c r="A84" s="4">
        <v>106</v>
      </c>
      <c r="B84" s="4" t="s">
        <v>27</v>
      </c>
      <c r="C84" s="7">
        <v>45790</v>
      </c>
      <c r="D84" s="5">
        <v>825128000304842</v>
      </c>
      <c r="E84" s="4" t="e">
        <v>#N/A</v>
      </c>
      <c r="F84" s="4" t="s">
        <v>11</v>
      </c>
      <c r="G84" s="6">
        <v>20582.919999999998</v>
      </c>
      <c r="H84" s="4" t="s">
        <v>15</v>
      </c>
      <c r="I84" s="4" t="s">
        <v>44</v>
      </c>
      <c r="J84" s="6">
        <v>10.9</v>
      </c>
      <c r="K84" s="6" t="str">
        <f>I84&amp;J84</f>
        <v>ER59MF9BQ0000-OC389705X45194-2025-03-0810.9</v>
      </c>
      <c r="L84" s="4" t="str">
        <f>IF(COUNTIF(D:D,D84)&gt;1,"D","N")</f>
        <v>D</v>
      </c>
      <c r="M84" s="4">
        <f>COUNTIFS(D:D,D84,F:F,"UPDATED")</f>
        <v>0</v>
      </c>
      <c r="N84" s="4">
        <f>COUNTIFS(D:D,D84,F:F,"NOT UPDATED")</f>
        <v>22</v>
      </c>
      <c r="O84" s="4">
        <f>COUNTIF(D:D,D84)</f>
        <v>22</v>
      </c>
    </row>
    <row r="85" spans="1:15" hidden="1" x14ac:dyDescent="0.25">
      <c r="A85" s="4">
        <v>107</v>
      </c>
      <c r="B85" s="4" t="s">
        <v>27</v>
      </c>
      <c r="C85" s="7">
        <v>45790</v>
      </c>
      <c r="D85" s="5">
        <v>825128000304842</v>
      </c>
      <c r="E85" s="4" t="e">
        <v>#N/A</v>
      </c>
      <c r="F85" s="4" t="s">
        <v>11</v>
      </c>
      <c r="G85" s="6">
        <v>20582.919999999998</v>
      </c>
      <c r="H85" s="4" t="s">
        <v>29</v>
      </c>
      <c r="I85" s="4" t="s">
        <v>44</v>
      </c>
      <c r="J85" s="6">
        <v>-10.9</v>
      </c>
      <c r="K85" s="6" t="str">
        <f>I85&amp;J85</f>
        <v>ER59MF9BQ0000-OC389705X45194-2025-03-08-10.9</v>
      </c>
      <c r="L85" s="4" t="str">
        <f>IF(COUNTIF(D:D,D85)&gt;1,"D","N")</f>
        <v>D</v>
      </c>
      <c r="M85" s="4">
        <f>COUNTIFS(D:D,D85,F:F,"UPDATED")</f>
        <v>0</v>
      </c>
      <c r="N85" s="4">
        <f>COUNTIFS(D:D,D85,F:F,"NOT UPDATED")</f>
        <v>22</v>
      </c>
      <c r="O85" s="4">
        <f>COUNTIF(D:D,D85)</f>
        <v>22</v>
      </c>
    </row>
    <row r="86" spans="1:15" hidden="1" x14ac:dyDescent="0.25">
      <c r="A86" s="4">
        <v>108</v>
      </c>
      <c r="B86" s="4" t="s">
        <v>27</v>
      </c>
      <c r="C86" s="7">
        <v>45790</v>
      </c>
      <c r="D86" s="5">
        <v>825128000304842</v>
      </c>
      <c r="E86" s="4" t="e">
        <v>#N/A</v>
      </c>
      <c r="F86" s="4" t="s">
        <v>11</v>
      </c>
      <c r="G86" s="6">
        <v>20582.919999999998</v>
      </c>
      <c r="H86" s="4" t="s">
        <v>15</v>
      </c>
      <c r="I86" s="4" t="s">
        <v>45</v>
      </c>
      <c r="J86" s="6">
        <v>169.5</v>
      </c>
      <c r="K86" s="6" t="str">
        <f>I86&amp;J86</f>
        <v>ESY2KFDHS0000-OC383281X46447-2025-02-25169.5</v>
      </c>
      <c r="L86" s="4" t="str">
        <f>IF(COUNTIF(D:D,D86)&gt;1,"D","N")</f>
        <v>D</v>
      </c>
      <c r="M86" s="4">
        <f>COUNTIFS(D:D,D86,F:F,"UPDATED")</f>
        <v>0</v>
      </c>
      <c r="N86" s="4">
        <f>COUNTIFS(D:D,D86,F:F,"NOT UPDATED")</f>
        <v>22</v>
      </c>
      <c r="O86" s="4">
        <f>COUNTIF(D:D,D86)</f>
        <v>22</v>
      </c>
    </row>
    <row r="87" spans="1:15" hidden="1" x14ac:dyDescent="0.25">
      <c r="A87" s="4">
        <v>109</v>
      </c>
      <c r="B87" s="4" t="s">
        <v>27</v>
      </c>
      <c r="C87" s="7">
        <v>45790</v>
      </c>
      <c r="D87" s="5">
        <v>825128000304842</v>
      </c>
      <c r="E87" s="4" t="e">
        <v>#N/A</v>
      </c>
      <c r="F87" s="4" t="s">
        <v>11</v>
      </c>
      <c r="G87" s="6">
        <v>20582.919999999998</v>
      </c>
      <c r="H87" s="4" t="s">
        <v>29</v>
      </c>
      <c r="I87" s="4" t="s">
        <v>45</v>
      </c>
      <c r="J87" s="6">
        <v>-169.5</v>
      </c>
      <c r="K87" s="6" t="str">
        <f>I87&amp;J87</f>
        <v>ESY2KFDHS0000-OC383281X46447-2025-02-25-169.5</v>
      </c>
      <c r="L87" s="4" t="str">
        <f>IF(COUNTIF(D:D,D87)&gt;1,"D","N")</f>
        <v>D</v>
      </c>
      <c r="M87" s="4">
        <f>COUNTIFS(D:D,D87,F:F,"UPDATED")</f>
        <v>0</v>
      </c>
      <c r="N87" s="4">
        <f>COUNTIFS(D:D,D87,F:F,"NOT UPDATED")</f>
        <v>22</v>
      </c>
      <c r="O87" s="4">
        <f>COUNTIF(D:D,D87)</f>
        <v>22</v>
      </c>
    </row>
    <row r="88" spans="1:15" hidden="1" x14ac:dyDescent="0.25">
      <c r="A88" s="4">
        <v>114</v>
      </c>
      <c r="B88" s="4" t="s">
        <v>27</v>
      </c>
      <c r="C88" s="7">
        <v>45790</v>
      </c>
      <c r="D88" s="5">
        <v>825128000304842</v>
      </c>
      <c r="E88" s="4" t="e">
        <v>#N/A</v>
      </c>
      <c r="F88" s="4" t="s">
        <v>11</v>
      </c>
      <c r="G88" s="6">
        <v>20582.919999999998</v>
      </c>
      <c r="H88" s="4" t="s">
        <v>15</v>
      </c>
      <c r="I88" s="4" t="s">
        <v>46</v>
      </c>
      <c r="J88" s="6">
        <v>201.46</v>
      </c>
      <c r="K88" s="6" t="str">
        <f>I88&amp;J88</f>
        <v>EV37KBBYY0000-OC372646X47024-2025-02-01201.46</v>
      </c>
      <c r="L88" s="4" t="str">
        <f>IF(COUNTIF(D:D,D88)&gt;1,"D","N")</f>
        <v>D</v>
      </c>
      <c r="M88" s="4">
        <f>COUNTIFS(D:D,D88,F:F,"UPDATED")</f>
        <v>0</v>
      </c>
      <c r="N88" s="4">
        <f>COUNTIFS(D:D,D88,F:F,"NOT UPDATED")</f>
        <v>22</v>
      </c>
      <c r="O88" s="4">
        <f>COUNTIF(D:D,D88)</f>
        <v>22</v>
      </c>
    </row>
    <row r="89" spans="1:15" hidden="1" x14ac:dyDescent="0.25">
      <c r="A89" s="4">
        <v>115</v>
      </c>
      <c r="B89" s="4" t="s">
        <v>27</v>
      </c>
      <c r="C89" s="7">
        <v>45790</v>
      </c>
      <c r="D89" s="5">
        <v>825128000304842</v>
      </c>
      <c r="E89" s="4" t="e">
        <v>#N/A</v>
      </c>
      <c r="F89" s="4" t="s">
        <v>11</v>
      </c>
      <c r="G89" s="6">
        <v>20582.919999999998</v>
      </c>
      <c r="H89" s="4" t="s">
        <v>29</v>
      </c>
      <c r="I89" s="4" t="s">
        <v>46</v>
      </c>
      <c r="J89" s="6">
        <v>-201.46</v>
      </c>
      <c r="K89" s="6" t="str">
        <f>I89&amp;J89</f>
        <v>EV37KBBYY0000-OC372646X47024-2025-02-01-201.46</v>
      </c>
      <c r="L89" s="4" t="str">
        <f>IF(COUNTIF(D:D,D89)&gt;1,"D","N")</f>
        <v>D</v>
      </c>
      <c r="M89" s="4">
        <f>COUNTIFS(D:D,D89,F:F,"UPDATED")</f>
        <v>0</v>
      </c>
      <c r="N89" s="4">
        <f>COUNTIFS(D:D,D89,F:F,"NOT UPDATED")</f>
        <v>22</v>
      </c>
      <c r="O89" s="4">
        <f>COUNTIF(D:D,D89)</f>
        <v>22</v>
      </c>
    </row>
    <row r="90" spans="1:15" hidden="1" x14ac:dyDescent="0.25">
      <c r="A90" s="4">
        <v>110</v>
      </c>
      <c r="B90" s="4" t="s">
        <v>27</v>
      </c>
      <c r="C90" s="7">
        <v>45790</v>
      </c>
      <c r="D90" s="5">
        <v>825128000304842</v>
      </c>
      <c r="E90" s="4" t="e">
        <v>#N/A</v>
      </c>
      <c r="F90" s="4" t="s">
        <v>11</v>
      </c>
      <c r="G90" s="6">
        <v>20582.919999999998</v>
      </c>
      <c r="H90" s="4" t="s">
        <v>15</v>
      </c>
      <c r="I90" s="4" t="s">
        <v>47</v>
      </c>
      <c r="J90" s="6">
        <v>9.26</v>
      </c>
      <c r="K90" s="6" t="str">
        <f>I90&amp;J90</f>
        <v>EVADKH4CJ0000-OC387568X15610-2025-03-059.26</v>
      </c>
      <c r="L90" s="4" t="str">
        <f>IF(COUNTIF(D:D,D90)&gt;1,"D","N")</f>
        <v>D</v>
      </c>
      <c r="M90" s="4">
        <f>COUNTIFS(D:D,D90,F:F,"UPDATED")</f>
        <v>0</v>
      </c>
      <c r="N90" s="4">
        <f>COUNTIFS(D:D,D90,F:F,"NOT UPDATED")</f>
        <v>22</v>
      </c>
      <c r="O90" s="4">
        <f>COUNTIF(D:D,D90)</f>
        <v>22</v>
      </c>
    </row>
    <row r="91" spans="1:15" hidden="1" x14ac:dyDescent="0.25">
      <c r="A91" s="4">
        <v>111</v>
      </c>
      <c r="B91" s="4" t="s">
        <v>27</v>
      </c>
      <c r="C91" s="7">
        <v>45790</v>
      </c>
      <c r="D91" s="5">
        <v>825128000304842</v>
      </c>
      <c r="E91" s="4" t="e">
        <v>#N/A</v>
      </c>
      <c r="F91" s="4" t="s">
        <v>11</v>
      </c>
      <c r="G91" s="6">
        <v>20582.919999999998</v>
      </c>
      <c r="H91" s="4" t="s">
        <v>29</v>
      </c>
      <c r="I91" s="4" t="s">
        <v>47</v>
      </c>
      <c r="J91" s="6">
        <v>-9.26</v>
      </c>
      <c r="K91" s="6" t="str">
        <f>I91&amp;J91</f>
        <v>EVADKH4CJ0000-OC387568X15610-2025-03-05-9.26</v>
      </c>
      <c r="L91" s="4" t="str">
        <f>IF(COUNTIF(D:D,D91)&gt;1,"D","N")</f>
        <v>D</v>
      </c>
      <c r="M91" s="4">
        <f>COUNTIFS(D:D,D91,F:F,"UPDATED")</f>
        <v>0</v>
      </c>
      <c r="N91" s="4">
        <f>COUNTIFS(D:D,D91,F:F,"NOT UPDATED")</f>
        <v>22</v>
      </c>
      <c r="O91" s="4">
        <f>COUNTIF(D:D,D91)</f>
        <v>22</v>
      </c>
    </row>
    <row r="92" spans="1:15" hidden="1" x14ac:dyDescent="0.25">
      <c r="A92" s="4">
        <v>112</v>
      </c>
      <c r="B92" s="4" t="s">
        <v>27</v>
      </c>
      <c r="C92" s="7">
        <v>45790</v>
      </c>
      <c r="D92" s="5">
        <v>825128000304842</v>
      </c>
      <c r="E92" s="4" t="e">
        <v>#N/A</v>
      </c>
      <c r="F92" s="4" t="s">
        <v>11</v>
      </c>
      <c r="G92" s="6">
        <v>20582.919999999998</v>
      </c>
      <c r="H92" s="4" t="s">
        <v>15</v>
      </c>
      <c r="I92" s="4" t="s">
        <v>48</v>
      </c>
      <c r="J92" s="6">
        <v>484.25</v>
      </c>
      <c r="K92" s="6" t="str">
        <f>I92&amp;J92</f>
        <v>EVTYH58820000-OC356076X43026-2025-01-02484.25</v>
      </c>
      <c r="L92" s="4" t="str">
        <f>IF(COUNTIF(D:D,D92)&gt;1,"D","N")</f>
        <v>D</v>
      </c>
      <c r="M92" s="4">
        <f>COUNTIFS(D:D,D92,F:F,"UPDATED")</f>
        <v>0</v>
      </c>
      <c r="N92" s="4">
        <f>COUNTIFS(D:D,D92,F:F,"NOT UPDATED")</f>
        <v>22</v>
      </c>
      <c r="O92" s="4">
        <f>COUNTIF(D:D,D92)</f>
        <v>22</v>
      </c>
    </row>
    <row r="93" spans="1:15" hidden="1" x14ac:dyDescent="0.25">
      <c r="A93" s="4">
        <v>113</v>
      </c>
      <c r="B93" s="4" t="s">
        <v>27</v>
      </c>
      <c r="C93" s="7">
        <v>45790</v>
      </c>
      <c r="D93" s="5">
        <v>825128000304842</v>
      </c>
      <c r="E93" s="4" t="e">
        <v>#N/A</v>
      </c>
      <c r="F93" s="4" t="s">
        <v>11</v>
      </c>
      <c r="G93" s="6">
        <v>20582.919999999998</v>
      </c>
      <c r="H93" s="4" t="s">
        <v>29</v>
      </c>
      <c r="I93" s="4" t="s">
        <v>48</v>
      </c>
      <c r="J93" s="6">
        <v>-484.25</v>
      </c>
      <c r="K93" s="6" t="str">
        <f>I93&amp;J93</f>
        <v>EVTYH58820000-OC356076X43026-2025-01-02-484.25</v>
      </c>
      <c r="L93" s="4" t="str">
        <f>IF(COUNTIF(D:D,D93)&gt;1,"D","N")</f>
        <v>D</v>
      </c>
      <c r="M93" s="4">
        <f>COUNTIFS(D:D,D93,F:F,"UPDATED")</f>
        <v>0</v>
      </c>
      <c r="N93" s="4">
        <f>COUNTIFS(D:D,D93,F:F,"NOT UPDATED")</f>
        <v>22</v>
      </c>
      <c r="O93" s="4">
        <f>COUNTIF(D:D,D93)</f>
        <v>22</v>
      </c>
    </row>
    <row r="94" spans="1:15" hidden="1" x14ac:dyDescent="0.25">
      <c r="A94" s="4">
        <v>116</v>
      </c>
      <c r="B94" s="4" t="s">
        <v>27</v>
      </c>
      <c r="C94" s="7">
        <v>45790</v>
      </c>
      <c r="D94" s="5">
        <v>825128000304842</v>
      </c>
      <c r="E94" s="4" t="e">
        <v>#N/A</v>
      </c>
      <c r="F94" s="4" t="s">
        <v>11</v>
      </c>
      <c r="G94" s="6">
        <v>20582.919999999998</v>
      </c>
      <c r="H94" s="4" t="s">
        <v>15</v>
      </c>
      <c r="I94" s="4" t="s">
        <v>49</v>
      </c>
      <c r="J94" s="6">
        <v>10.9</v>
      </c>
      <c r="K94" s="6" t="str">
        <f>I94&amp;J94</f>
        <v>EXJNKSS5X0000-OC394490X10735-2025-03-1810.9</v>
      </c>
      <c r="L94" s="4" t="str">
        <f>IF(COUNTIF(D:D,D94)&gt;1,"D","N")</f>
        <v>D</v>
      </c>
      <c r="M94" s="4">
        <f>COUNTIFS(D:D,D94,F:F,"UPDATED")</f>
        <v>0</v>
      </c>
      <c r="N94" s="4">
        <f>COUNTIFS(D:D,D94,F:F,"NOT UPDATED")</f>
        <v>22</v>
      </c>
      <c r="O94" s="4">
        <f>COUNTIF(D:D,D94)</f>
        <v>22</v>
      </c>
    </row>
    <row r="95" spans="1:15" hidden="1" x14ac:dyDescent="0.25">
      <c r="A95" s="4">
        <v>117</v>
      </c>
      <c r="B95" s="4" t="s">
        <v>27</v>
      </c>
      <c r="C95" s="7">
        <v>45790</v>
      </c>
      <c r="D95" s="5">
        <v>825128000304842</v>
      </c>
      <c r="E95" s="4" t="e">
        <v>#N/A</v>
      </c>
      <c r="F95" s="4" t="s">
        <v>11</v>
      </c>
      <c r="G95" s="6">
        <v>20582.919999999998</v>
      </c>
      <c r="H95" s="4" t="s">
        <v>29</v>
      </c>
      <c r="I95" s="4" t="s">
        <v>49</v>
      </c>
      <c r="J95" s="6">
        <v>-10.9</v>
      </c>
      <c r="K95" s="6" t="str">
        <f>I95&amp;J95</f>
        <v>EXJNKSS5X0000-OC394490X10735-2025-03-18-10.9</v>
      </c>
      <c r="L95" s="4" t="str">
        <f>IF(COUNTIF(D:D,D95)&gt;1,"D","N")</f>
        <v>D</v>
      </c>
      <c r="M95" s="4">
        <f>COUNTIFS(D:D,D95,F:F,"UPDATED")</f>
        <v>0</v>
      </c>
      <c r="N95" s="4">
        <f>COUNTIFS(D:D,D95,F:F,"NOT UPDATED")</f>
        <v>22</v>
      </c>
      <c r="O95" s="4">
        <f>COUNTIF(D:D,D95)</f>
        <v>22</v>
      </c>
    </row>
    <row r="96" spans="1:15" hidden="1" x14ac:dyDescent="0.25">
      <c r="A96" s="4">
        <v>153</v>
      </c>
      <c r="B96" s="4" t="s">
        <v>27</v>
      </c>
      <c r="C96" s="7">
        <v>45796</v>
      </c>
      <c r="D96" s="5">
        <v>825134000543394</v>
      </c>
      <c r="E96" s="4">
        <v>825134000543394</v>
      </c>
      <c r="F96" s="4" t="s">
        <v>339</v>
      </c>
      <c r="G96" s="6">
        <v>48.73</v>
      </c>
      <c r="H96" s="4" t="s">
        <v>12</v>
      </c>
      <c r="I96" s="4">
        <v>925132000253736</v>
      </c>
      <c r="J96" s="6">
        <v>10.9</v>
      </c>
      <c r="K96" s="6" t="str">
        <f>I96&amp;J96</f>
        <v>92513200025373610.9</v>
      </c>
      <c r="L96" s="4" t="str">
        <f>IF(COUNTIF(D:D,D96)&gt;1,"D","N")</f>
        <v>D</v>
      </c>
      <c r="M96" s="4">
        <f>COUNTIFS(D:D,D96,F:F,"UPDATED")</f>
        <v>4</v>
      </c>
      <c r="N96" s="4">
        <f>COUNTIFS(D:D,D96,F:F,"NOT UPDATED")</f>
        <v>0</v>
      </c>
      <c r="O96" s="4">
        <f>COUNTIF(D:D,D96)</f>
        <v>4</v>
      </c>
    </row>
    <row r="97" spans="1:15" hidden="1" x14ac:dyDescent="0.25">
      <c r="A97" s="4">
        <v>154</v>
      </c>
      <c r="B97" s="4" t="s">
        <v>27</v>
      </c>
      <c r="C97" s="7">
        <v>45796</v>
      </c>
      <c r="D97" s="5">
        <v>825134000543394</v>
      </c>
      <c r="E97" s="4">
        <v>825134000543394</v>
      </c>
      <c r="F97" s="4" t="s">
        <v>339</v>
      </c>
      <c r="G97" s="6">
        <v>48.73</v>
      </c>
      <c r="H97" s="4" t="s">
        <v>15</v>
      </c>
      <c r="I97" s="4" t="s">
        <v>50</v>
      </c>
      <c r="J97" s="6">
        <v>10.9</v>
      </c>
      <c r="K97" s="6" t="str">
        <f>I97&amp;J97</f>
        <v>EYPDKVZBQ0000-OC376662X14029-2025-02-1210.9</v>
      </c>
      <c r="L97" s="4" t="str">
        <f>IF(COUNTIF(D:D,D97)&gt;1,"D","N")</f>
        <v>D</v>
      </c>
      <c r="M97" s="4">
        <f>COUNTIFS(D:D,D97,F:F,"UPDATED")</f>
        <v>4</v>
      </c>
      <c r="N97" s="4">
        <f>COUNTIFS(D:D,D97,F:F,"NOT UPDATED")</f>
        <v>0</v>
      </c>
      <c r="O97" s="4">
        <f>COUNTIF(D:D,D97)</f>
        <v>4</v>
      </c>
    </row>
    <row r="98" spans="1:15" hidden="1" x14ac:dyDescent="0.25">
      <c r="A98" s="4">
        <v>155</v>
      </c>
      <c r="B98" s="4" t="s">
        <v>27</v>
      </c>
      <c r="C98" s="7">
        <v>45796</v>
      </c>
      <c r="D98" s="5">
        <v>825134000543394</v>
      </c>
      <c r="E98" s="4">
        <v>825134000543394</v>
      </c>
      <c r="F98" s="4" t="s">
        <v>339</v>
      </c>
      <c r="G98" s="6">
        <v>48.73</v>
      </c>
      <c r="H98" s="4" t="s">
        <v>29</v>
      </c>
      <c r="I98" s="4" t="s">
        <v>50</v>
      </c>
      <c r="J98" s="6">
        <v>-10.9</v>
      </c>
      <c r="K98" s="6" t="str">
        <f>I98&amp;J98</f>
        <v>EYPDKVZBQ0000-OC376662X14029-2025-02-12-10.9</v>
      </c>
      <c r="L98" s="4" t="str">
        <f>IF(COUNTIF(D:D,D98)&gt;1,"D","N")</f>
        <v>D</v>
      </c>
      <c r="M98" s="4">
        <f>COUNTIFS(D:D,D98,F:F,"UPDATED")</f>
        <v>4</v>
      </c>
      <c r="N98" s="4">
        <f>COUNTIFS(D:D,D98,F:F,"NOT UPDATED")</f>
        <v>0</v>
      </c>
      <c r="O98" s="4">
        <f>COUNTIF(D:D,D98)</f>
        <v>4</v>
      </c>
    </row>
    <row r="99" spans="1:15" hidden="1" x14ac:dyDescent="0.25">
      <c r="A99" s="4">
        <v>156</v>
      </c>
      <c r="B99" s="4" t="s">
        <v>27</v>
      </c>
      <c r="C99" s="7">
        <v>45796</v>
      </c>
      <c r="D99" s="5">
        <v>825134000543394</v>
      </c>
      <c r="E99" s="4">
        <v>825134000543394</v>
      </c>
      <c r="F99" s="4" t="s">
        <v>339</v>
      </c>
      <c r="G99" s="6">
        <v>48.73</v>
      </c>
      <c r="H99" s="4" t="s">
        <v>131</v>
      </c>
      <c r="J99" s="6">
        <v>-6.11</v>
      </c>
      <c r="K99" s="6" t="str">
        <f>I99&amp;J99</f>
        <v>-6.11</v>
      </c>
      <c r="L99" s="4" t="str">
        <f>IF(COUNTIF(D:D,D99)&gt;1,"D","N")</f>
        <v>D</v>
      </c>
      <c r="M99" s="4">
        <f>COUNTIFS(D:D,D99,F:F,"UPDATED")</f>
        <v>4</v>
      </c>
      <c r="N99" s="4">
        <f>COUNTIFS(D:D,D99,F:F,"NOT UPDATED")</f>
        <v>0</v>
      </c>
      <c r="O99" s="4">
        <f>COUNTIF(D:D,D99)</f>
        <v>4</v>
      </c>
    </row>
    <row r="100" spans="1:15" x14ac:dyDescent="0.25">
      <c r="A100" s="4">
        <v>319</v>
      </c>
      <c r="B100" s="4" t="s">
        <v>87</v>
      </c>
      <c r="D100" s="5" t="s">
        <v>90</v>
      </c>
      <c r="E100" s="4" t="e">
        <v>#N/A</v>
      </c>
      <c r="F100" s="4" t="s">
        <v>11</v>
      </c>
      <c r="G100" s="6" t="s">
        <v>91</v>
      </c>
      <c r="H100" s="4" t="s">
        <v>15</v>
      </c>
      <c r="I100" s="4" t="s">
        <v>17</v>
      </c>
      <c r="J100" s="6">
        <v>0.32</v>
      </c>
      <c r="K100" s="6" t="str">
        <f>I100&amp;J100</f>
        <v>52933AG-I0.32</v>
      </c>
      <c r="L100" s="4" t="str">
        <f>IF(COUNTIF(D:D,D100)&gt;1,"D","N")</f>
        <v>D</v>
      </c>
      <c r="M100" s="4">
        <f>COUNTIFS(D:D,D100,F:F,"UPDATED")</f>
        <v>0</v>
      </c>
      <c r="N100" s="4">
        <f>COUNTIFS(D:D,D100,F:F,"NOT UPDATED")</f>
        <v>4</v>
      </c>
      <c r="O100" s="4">
        <f>COUNTIF(D:D,D100)</f>
        <v>4</v>
      </c>
    </row>
    <row r="101" spans="1:15" x14ac:dyDescent="0.25">
      <c r="A101" s="4">
        <v>172</v>
      </c>
      <c r="B101" s="4" t="s">
        <v>10</v>
      </c>
      <c r="C101" s="7">
        <v>45797</v>
      </c>
      <c r="D101" s="5">
        <v>800498552</v>
      </c>
      <c r="E101" s="4" t="e">
        <v>#N/A</v>
      </c>
      <c r="F101" s="4" t="s">
        <v>11</v>
      </c>
      <c r="G101" s="6">
        <v>51306.75</v>
      </c>
      <c r="H101" s="4" t="s">
        <v>15</v>
      </c>
      <c r="I101" s="4" t="s">
        <v>18</v>
      </c>
      <c r="J101" s="6">
        <v>41.23</v>
      </c>
      <c r="K101" s="6" t="str">
        <f>I101&amp;J101</f>
        <v>53019AG41.23</v>
      </c>
      <c r="L101" s="4" t="str">
        <f>IF(COUNTIF(D:D,D101)&gt;1,"D","N")</f>
        <v>D</v>
      </c>
      <c r="M101" s="4">
        <f>COUNTIFS(D:D,D101,F:F,"UPDATED")</f>
        <v>0</v>
      </c>
      <c r="N101" s="4">
        <f>COUNTIFS(D:D,D101,F:F,"NOT UPDATED")</f>
        <v>4</v>
      </c>
      <c r="O101" s="4">
        <f>COUNTIF(D:D,D101)</f>
        <v>4</v>
      </c>
    </row>
    <row r="102" spans="1:15" hidden="1" x14ac:dyDescent="0.25">
      <c r="A102" s="4">
        <v>309</v>
      </c>
      <c r="B102" s="4" t="s">
        <v>27</v>
      </c>
      <c r="D102" s="5">
        <v>825135000323782</v>
      </c>
      <c r="E102" s="4" t="e">
        <v>#N/A</v>
      </c>
      <c r="F102" s="4" t="s">
        <v>11</v>
      </c>
      <c r="G102" s="6">
        <v>11399.37</v>
      </c>
      <c r="H102" s="4" t="s">
        <v>15</v>
      </c>
      <c r="I102" s="4" t="s">
        <v>52</v>
      </c>
      <c r="J102" s="6">
        <v>9.81</v>
      </c>
      <c r="K102" s="6" t="str">
        <f>I102&amp;J102</f>
        <v>EPFDMJTRD0000-OC391989X3160-2025-03-139.81</v>
      </c>
      <c r="L102" s="4" t="str">
        <f>IF(COUNTIF(D:D,D102)&gt;1,"D","N")</f>
        <v>D</v>
      </c>
      <c r="M102" s="4">
        <f>COUNTIFS(D:D,D102,F:F,"UPDATED")</f>
        <v>0</v>
      </c>
      <c r="N102" s="4">
        <f>COUNTIFS(D:D,D102,F:F,"NOT UPDATED")</f>
        <v>4</v>
      </c>
      <c r="O102" s="4">
        <f>COUNTIF(D:D,D102)</f>
        <v>4</v>
      </c>
    </row>
    <row r="103" spans="1:15" hidden="1" x14ac:dyDescent="0.25">
      <c r="A103" s="4">
        <v>310</v>
      </c>
      <c r="B103" s="4" t="s">
        <v>27</v>
      </c>
      <c r="D103" s="5">
        <v>825135000323782</v>
      </c>
      <c r="E103" s="4" t="e">
        <v>#N/A</v>
      </c>
      <c r="F103" s="4" t="s">
        <v>11</v>
      </c>
      <c r="G103" s="6">
        <v>11399.37</v>
      </c>
      <c r="H103" s="4" t="s">
        <v>29</v>
      </c>
      <c r="I103" s="4" t="s">
        <v>52</v>
      </c>
      <c r="J103" s="6">
        <v>-9.81</v>
      </c>
      <c r="K103" s="6" t="str">
        <f>I103&amp;J103</f>
        <v>EPFDMJTRD0000-OC391989X3160-2025-03-13-9.81</v>
      </c>
      <c r="L103" s="4" t="str">
        <f>IF(COUNTIF(D:D,D103)&gt;1,"D","N")</f>
        <v>D</v>
      </c>
      <c r="M103" s="4">
        <f>COUNTIFS(D:D,D103,F:F,"UPDATED")</f>
        <v>0</v>
      </c>
      <c r="N103" s="4">
        <f>COUNTIFS(D:D,D103,F:F,"NOT UPDATED")</f>
        <v>4</v>
      </c>
      <c r="O103" s="4">
        <f>COUNTIF(D:D,D103)</f>
        <v>4</v>
      </c>
    </row>
    <row r="104" spans="1:15" hidden="1" x14ac:dyDescent="0.25">
      <c r="A104" s="4">
        <v>311</v>
      </c>
      <c r="B104" s="4" t="s">
        <v>27</v>
      </c>
      <c r="D104" s="5">
        <v>825135000323782</v>
      </c>
      <c r="E104" s="4" t="e">
        <v>#N/A</v>
      </c>
      <c r="F104" s="4" t="s">
        <v>11</v>
      </c>
      <c r="G104" s="6">
        <v>11399.37</v>
      </c>
      <c r="H104" s="4" t="s">
        <v>15</v>
      </c>
      <c r="I104" s="4" t="s">
        <v>53</v>
      </c>
      <c r="J104" s="6">
        <v>8.7200000000000006</v>
      </c>
      <c r="K104" s="6" t="str">
        <f>I104&amp;J104</f>
        <v>ESPDKWLWR0000-OC394881X22583-2025-03-188.72</v>
      </c>
      <c r="L104" s="4" t="str">
        <f>IF(COUNTIF(D:D,D104)&gt;1,"D","N")</f>
        <v>D</v>
      </c>
      <c r="M104" s="4">
        <f>COUNTIFS(D:D,D104,F:F,"UPDATED")</f>
        <v>0</v>
      </c>
      <c r="N104" s="4">
        <f>COUNTIFS(D:D,D104,F:F,"NOT UPDATED")</f>
        <v>4</v>
      </c>
      <c r="O104" s="4">
        <f>COUNTIF(D:D,D104)</f>
        <v>4</v>
      </c>
    </row>
    <row r="105" spans="1:15" hidden="1" x14ac:dyDescent="0.25">
      <c r="A105" s="4">
        <v>312</v>
      </c>
      <c r="B105" s="4" t="s">
        <v>27</v>
      </c>
      <c r="D105" s="5">
        <v>825135000323782</v>
      </c>
      <c r="E105" s="4" t="e">
        <v>#N/A</v>
      </c>
      <c r="F105" s="4" t="s">
        <v>11</v>
      </c>
      <c r="G105" s="6">
        <v>11399.37</v>
      </c>
      <c r="H105" s="4" t="s">
        <v>29</v>
      </c>
      <c r="I105" s="4" t="s">
        <v>53</v>
      </c>
      <c r="J105" s="6">
        <v>-8.7200000000000006</v>
      </c>
      <c r="K105" s="6" t="str">
        <f>I105&amp;J105</f>
        <v>ESPDKWLWR0000-OC394881X22583-2025-03-18-8.72</v>
      </c>
      <c r="L105" s="4" t="str">
        <f>IF(COUNTIF(D:D,D105)&gt;1,"D","N")</f>
        <v>D</v>
      </c>
      <c r="M105" s="4">
        <f>COUNTIFS(D:D,D105,F:F,"UPDATED")</f>
        <v>0</v>
      </c>
      <c r="N105" s="4">
        <f>COUNTIFS(D:D,D105,F:F,"NOT UPDATED")</f>
        <v>4</v>
      </c>
      <c r="O105" s="4">
        <f>COUNTIF(D:D,D105)</f>
        <v>4</v>
      </c>
    </row>
    <row r="106" spans="1:15" hidden="1" x14ac:dyDescent="0.25">
      <c r="A106" s="4">
        <v>234</v>
      </c>
      <c r="B106" s="4" t="s">
        <v>27</v>
      </c>
      <c r="C106" s="7">
        <v>45805</v>
      </c>
      <c r="D106" s="5">
        <v>825142000051225</v>
      </c>
      <c r="E106" s="4" t="e">
        <v>#N/A</v>
      </c>
      <c r="F106" s="4" t="s">
        <v>11</v>
      </c>
      <c r="G106" s="6">
        <v>995.34</v>
      </c>
      <c r="H106" s="4" t="s">
        <v>15</v>
      </c>
      <c r="I106" s="4" t="s">
        <v>54</v>
      </c>
      <c r="J106" s="6">
        <v>10.9</v>
      </c>
      <c r="K106" s="6" t="str">
        <f>I106&amp;J106</f>
        <v>ETTYKNJ3H0000-OC385566X17630-2025-03-0310.9</v>
      </c>
      <c r="L106" s="4" t="str">
        <f>IF(COUNTIF(D:D,D106)&gt;1,"D","N")</f>
        <v>D</v>
      </c>
      <c r="M106" s="4">
        <f>COUNTIFS(D:D,D106,F:F,"UPDATED")</f>
        <v>0</v>
      </c>
      <c r="N106" s="4">
        <f>COUNTIFS(D:D,D106,F:F,"NOT UPDATED")</f>
        <v>2</v>
      </c>
      <c r="O106" s="4">
        <f>COUNTIF(D:D,D106)</f>
        <v>2</v>
      </c>
    </row>
    <row r="107" spans="1:15" hidden="1" x14ac:dyDescent="0.25">
      <c r="A107" s="4">
        <v>235</v>
      </c>
      <c r="B107" s="4" t="s">
        <v>27</v>
      </c>
      <c r="C107" s="7">
        <v>45805</v>
      </c>
      <c r="D107" s="5">
        <v>825142000051225</v>
      </c>
      <c r="E107" s="4" t="e">
        <v>#N/A</v>
      </c>
      <c r="F107" s="4" t="s">
        <v>11</v>
      </c>
      <c r="G107" s="6">
        <v>995.34</v>
      </c>
      <c r="H107" s="4" t="s">
        <v>29</v>
      </c>
      <c r="I107" s="4" t="s">
        <v>54</v>
      </c>
      <c r="J107" s="6">
        <v>-10.9</v>
      </c>
      <c r="K107" s="6" t="str">
        <f>I107&amp;J107</f>
        <v>ETTYKNJ3H0000-OC385566X17630-2025-03-03-10.9</v>
      </c>
      <c r="L107" s="4" t="str">
        <f>IF(COUNTIF(D:D,D107)&gt;1,"D","N")</f>
        <v>D</v>
      </c>
      <c r="M107" s="4">
        <f>COUNTIFS(D:D,D107,F:F,"UPDATED")</f>
        <v>0</v>
      </c>
      <c r="N107" s="4">
        <f>COUNTIFS(D:D,D107,F:F,"NOT UPDATED")</f>
        <v>2</v>
      </c>
      <c r="O107" s="4">
        <f>COUNTIF(D:D,D107)</f>
        <v>2</v>
      </c>
    </row>
    <row r="108" spans="1:15" hidden="1" x14ac:dyDescent="0.25">
      <c r="A108" s="4">
        <v>209</v>
      </c>
      <c r="B108" s="4" t="s">
        <v>27</v>
      </c>
      <c r="C108" s="7">
        <v>45805</v>
      </c>
      <c r="D108" s="5">
        <v>825142000051247</v>
      </c>
      <c r="E108" s="4" t="e">
        <v>#N/A</v>
      </c>
      <c r="F108" s="4" t="s">
        <v>11</v>
      </c>
      <c r="G108" s="6">
        <v>548.71</v>
      </c>
      <c r="H108" s="4" t="s">
        <v>15</v>
      </c>
      <c r="I108" s="4" t="s">
        <v>55</v>
      </c>
      <c r="J108" s="6">
        <v>10.9</v>
      </c>
      <c r="K108" s="6" t="str">
        <f>I108&amp;J108</f>
        <v>E3JNKWPDS0000-OC396145X13914-2025-03-2010.9</v>
      </c>
      <c r="L108" s="4" t="str">
        <f>IF(COUNTIF(D:D,D108)&gt;1,"D","N")</f>
        <v>D</v>
      </c>
      <c r="M108" s="4">
        <f>COUNTIFS(D:D,D108,F:F,"UPDATED")</f>
        <v>0</v>
      </c>
      <c r="N108" s="4">
        <f>COUNTIFS(D:D,D108,F:F,"NOT UPDATED")</f>
        <v>4</v>
      </c>
      <c r="O108" s="4">
        <f>COUNTIF(D:D,D108)</f>
        <v>4</v>
      </c>
    </row>
    <row r="109" spans="1:15" hidden="1" x14ac:dyDescent="0.25">
      <c r="A109" s="4">
        <v>210</v>
      </c>
      <c r="B109" s="4" t="s">
        <v>27</v>
      </c>
      <c r="C109" s="7">
        <v>45805</v>
      </c>
      <c r="D109" s="5">
        <v>825142000051247</v>
      </c>
      <c r="E109" s="4" t="e">
        <v>#N/A</v>
      </c>
      <c r="F109" s="4" t="s">
        <v>11</v>
      </c>
      <c r="G109" s="6">
        <v>548.71</v>
      </c>
      <c r="H109" s="4" t="s">
        <v>29</v>
      </c>
      <c r="I109" s="4" t="s">
        <v>55</v>
      </c>
      <c r="J109" s="6">
        <v>-10.9</v>
      </c>
      <c r="K109" s="6" t="str">
        <f>I109&amp;J109</f>
        <v>E3JNKWPDS0000-OC396145X13914-2025-03-20-10.9</v>
      </c>
      <c r="L109" s="4" t="str">
        <f>IF(COUNTIF(D:D,D109)&gt;1,"D","N")</f>
        <v>D</v>
      </c>
      <c r="M109" s="4">
        <f>COUNTIFS(D:D,D109,F:F,"UPDATED")</f>
        <v>0</v>
      </c>
      <c r="N109" s="4">
        <f>COUNTIFS(D:D,D109,F:F,"NOT UPDATED")</f>
        <v>4</v>
      </c>
      <c r="O109" s="4">
        <f>COUNTIF(D:D,D109)</f>
        <v>4</v>
      </c>
    </row>
    <row r="110" spans="1:15" hidden="1" x14ac:dyDescent="0.25">
      <c r="A110" s="4">
        <v>211</v>
      </c>
      <c r="B110" s="4" t="s">
        <v>27</v>
      </c>
      <c r="C110" s="7">
        <v>45805</v>
      </c>
      <c r="D110" s="5">
        <v>825142000051247</v>
      </c>
      <c r="E110" s="4" t="e">
        <v>#N/A</v>
      </c>
      <c r="F110" s="4" t="s">
        <v>11</v>
      </c>
      <c r="G110" s="6">
        <v>548.71</v>
      </c>
      <c r="H110" s="4" t="s">
        <v>15</v>
      </c>
      <c r="I110" s="4" t="s">
        <v>56</v>
      </c>
      <c r="J110" s="6">
        <v>10.9</v>
      </c>
      <c r="K110" s="6" t="str">
        <f>I110&amp;J110</f>
        <v>E6PDKRB9D0000-OC389120X7480-2025-03-0710.9</v>
      </c>
      <c r="L110" s="4" t="str">
        <f>IF(COUNTIF(D:D,D110)&gt;1,"D","N")</f>
        <v>D</v>
      </c>
      <c r="M110" s="4">
        <f>COUNTIFS(D:D,D110,F:F,"UPDATED")</f>
        <v>0</v>
      </c>
      <c r="N110" s="4">
        <f>COUNTIFS(D:D,D110,F:F,"NOT UPDATED")</f>
        <v>4</v>
      </c>
      <c r="O110" s="4">
        <f>COUNTIF(D:D,D110)</f>
        <v>4</v>
      </c>
    </row>
    <row r="111" spans="1:15" hidden="1" x14ac:dyDescent="0.25">
      <c r="A111" s="4">
        <v>212</v>
      </c>
      <c r="B111" s="4" t="s">
        <v>27</v>
      </c>
      <c r="C111" s="7">
        <v>45805</v>
      </c>
      <c r="D111" s="5">
        <v>825142000051247</v>
      </c>
      <c r="E111" s="4" t="e">
        <v>#N/A</v>
      </c>
      <c r="F111" s="4" t="s">
        <v>11</v>
      </c>
      <c r="G111" s="6">
        <v>548.71</v>
      </c>
      <c r="H111" s="4" t="s">
        <v>29</v>
      </c>
      <c r="I111" s="4" t="s">
        <v>56</v>
      </c>
      <c r="J111" s="6">
        <v>-10.9</v>
      </c>
      <c r="K111" s="6" t="str">
        <f>I111&amp;J111</f>
        <v>E6PDKRB9D0000-OC389120X7480-2025-03-07-10.9</v>
      </c>
      <c r="L111" s="4" t="str">
        <f>IF(COUNTIF(D:D,D111)&gt;1,"D","N")</f>
        <v>D</v>
      </c>
      <c r="M111" s="4">
        <f>COUNTIFS(D:D,D111,F:F,"UPDATED")</f>
        <v>0</v>
      </c>
      <c r="N111" s="4">
        <f>COUNTIFS(D:D,D111,F:F,"NOT UPDATED")</f>
        <v>4</v>
      </c>
      <c r="O111" s="4">
        <f>COUNTIF(D:D,D111)</f>
        <v>4</v>
      </c>
    </row>
    <row r="112" spans="1:15" hidden="1" x14ac:dyDescent="0.25">
      <c r="A112" s="4">
        <v>213</v>
      </c>
      <c r="B112" s="4" t="s">
        <v>27</v>
      </c>
      <c r="C112" s="7">
        <v>45805</v>
      </c>
      <c r="D112" s="5">
        <v>825142000051254</v>
      </c>
      <c r="E112" s="4" t="e">
        <v>#N/A</v>
      </c>
      <c r="F112" s="4" t="s">
        <v>11</v>
      </c>
      <c r="G112" s="6">
        <v>7380.45</v>
      </c>
      <c r="H112" s="4" t="s">
        <v>12</v>
      </c>
      <c r="I112" s="4">
        <v>925141000328234</v>
      </c>
      <c r="J112" s="6">
        <v>1402.85</v>
      </c>
      <c r="K112" s="6" t="str">
        <f>I112&amp;J112</f>
        <v>9251410003282341402.85</v>
      </c>
      <c r="L112" s="4" t="str">
        <f>IF(COUNTIF(D:D,D112)&gt;1,"D","N")</f>
        <v>D</v>
      </c>
      <c r="M112" s="4">
        <f>COUNTIFS(D:D,D112,F:F,"UPDATED")</f>
        <v>0</v>
      </c>
      <c r="N112" s="4">
        <f>COUNTIFS(D:D,D112,F:F,"NOT UPDATED")</f>
        <v>21</v>
      </c>
      <c r="O112" s="4">
        <f>COUNTIF(D:D,D112)</f>
        <v>21</v>
      </c>
    </row>
    <row r="113" spans="1:15" hidden="1" x14ac:dyDescent="0.25">
      <c r="A113" s="4">
        <v>224</v>
      </c>
      <c r="B113" s="4" t="s">
        <v>27</v>
      </c>
      <c r="C113" s="7">
        <v>45805</v>
      </c>
      <c r="D113" s="5">
        <v>825142000051254</v>
      </c>
      <c r="E113" s="4" t="e">
        <v>#N/A</v>
      </c>
      <c r="F113" s="4" t="s">
        <v>11</v>
      </c>
      <c r="G113" s="6">
        <v>7380.45</v>
      </c>
      <c r="H113" s="4" t="s">
        <v>15</v>
      </c>
      <c r="I113" s="4" t="s">
        <v>57</v>
      </c>
      <c r="J113" s="6">
        <v>10.9</v>
      </c>
      <c r="K113" s="6" t="str">
        <f>I113&amp;J113</f>
        <v>E3ADKZB3H0000-OC396650X44533-2025-03-2010.9</v>
      </c>
      <c r="L113" s="4" t="str">
        <f>IF(COUNTIF(D:D,D113)&gt;1,"D","N")</f>
        <v>D</v>
      </c>
      <c r="M113" s="4">
        <f>COUNTIFS(D:D,D113,F:F,"UPDATED")</f>
        <v>0</v>
      </c>
      <c r="N113" s="4">
        <f>COUNTIFS(D:D,D113,F:F,"NOT UPDATED")</f>
        <v>21</v>
      </c>
      <c r="O113" s="4">
        <f>COUNTIF(D:D,D113)</f>
        <v>21</v>
      </c>
    </row>
    <row r="114" spans="1:15" hidden="1" x14ac:dyDescent="0.25">
      <c r="A114" s="4">
        <v>225</v>
      </c>
      <c r="B114" s="4" t="s">
        <v>27</v>
      </c>
      <c r="C114" s="7">
        <v>45805</v>
      </c>
      <c r="D114" s="5">
        <v>825142000051254</v>
      </c>
      <c r="E114" s="4" t="e">
        <v>#N/A</v>
      </c>
      <c r="F114" s="4" t="s">
        <v>11</v>
      </c>
      <c r="G114" s="6">
        <v>7380.45</v>
      </c>
      <c r="H114" s="4" t="s">
        <v>29</v>
      </c>
      <c r="I114" s="4" t="s">
        <v>57</v>
      </c>
      <c r="J114" s="6">
        <v>-10.9</v>
      </c>
      <c r="K114" s="6" t="str">
        <f>I114&amp;J114</f>
        <v>E3ADKZB3H0000-OC396650X44533-2025-03-20-10.9</v>
      </c>
      <c r="L114" s="4" t="str">
        <f>IF(COUNTIF(D:D,D114)&gt;1,"D","N")</f>
        <v>D</v>
      </c>
      <c r="M114" s="4">
        <f>COUNTIFS(D:D,D114,F:F,"UPDATED")</f>
        <v>0</v>
      </c>
      <c r="N114" s="4">
        <f>COUNTIFS(D:D,D114,F:F,"NOT UPDATED")</f>
        <v>21</v>
      </c>
      <c r="O114" s="4">
        <f>COUNTIF(D:D,D114)</f>
        <v>21</v>
      </c>
    </row>
    <row r="115" spans="1:15" hidden="1" x14ac:dyDescent="0.25">
      <c r="A115" s="4">
        <v>226</v>
      </c>
      <c r="B115" s="4" t="s">
        <v>27</v>
      </c>
      <c r="C115" s="7">
        <v>45805</v>
      </c>
      <c r="D115" s="5">
        <v>825142000051254</v>
      </c>
      <c r="E115" s="4" t="e">
        <v>#N/A</v>
      </c>
      <c r="F115" s="4" t="s">
        <v>11</v>
      </c>
      <c r="G115" s="6">
        <v>7380.45</v>
      </c>
      <c r="H115" s="4" t="s">
        <v>15</v>
      </c>
      <c r="I115" s="4" t="s">
        <v>58</v>
      </c>
      <c r="J115" s="6">
        <v>1402.85</v>
      </c>
      <c r="K115" s="6" t="str">
        <f>I115&amp;J115</f>
        <v>E3JNGDZ9G0000-OC315166X42109-2024-09-241402.85</v>
      </c>
      <c r="L115" s="4" t="str">
        <f>IF(COUNTIF(D:D,D115)&gt;1,"D","N")</f>
        <v>D</v>
      </c>
      <c r="M115" s="4">
        <f>COUNTIFS(D:D,D115,F:F,"UPDATED")</f>
        <v>0</v>
      </c>
      <c r="N115" s="4">
        <f>COUNTIFS(D:D,D115,F:F,"NOT UPDATED")</f>
        <v>21</v>
      </c>
      <c r="O115" s="4">
        <f>COUNTIF(D:D,D115)</f>
        <v>21</v>
      </c>
    </row>
    <row r="116" spans="1:15" hidden="1" x14ac:dyDescent="0.25">
      <c r="A116" s="4">
        <v>227</v>
      </c>
      <c r="B116" s="4" t="s">
        <v>27</v>
      </c>
      <c r="C116" s="7">
        <v>45805</v>
      </c>
      <c r="D116" s="5">
        <v>825142000051254</v>
      </c>
      <c r="E116" s="4" t="e">
        <v>#N/A</v>
      </c>
      <c r="F116" s="4" t="s">
        <v>11</v>
      </c>
      <c r="G116" s="6">
        <v>7380.45</v>
      </c>
      <c r="H116" s="4" t="s">
        <v>29</v>
      </c>
      <c r="I116" s="4" t="s">
        <v>58</v>
      </c>
      <c r="J116" s="6">
        <v>-1402.85</v>
      </c>
      <c r="K116" s="6" t="str">
        <f>I116&amp;J116</f>
        <v>E3JNGDZ9G0000-OC315166X42109-2024-09-24-1402.85</v>
      </c>
      <c r="L116" s="4" t="str">
        <f>IF(COUNTIF(D:D,D116)&gt;1,"D","N")</f>
        <v>D</v>
      </c>
      <c r="M116" s="4">
        <f>COUNTIFS(D:D,D116,F:F,"UPDATED")</f>
        <v>0</v>
      </c>
      <c r="N116" s="4">
        <f>COUNTIFS(D:D,D116,F:F,"NOT UPDATED")</f>
        <v>21</v>
      </c>
      <c r="O116" s="4">
        <f>COUNTIF(D:D,D116)</f>
        <v>21</v>
      </c>
    </row>
    <row r="117" spans="1:15" hidden="1" x14ac:dyDescent="0.25">
      <c r="A117" s="4">
        <v>228</v>
      </c>
      <c r="B117" s="4" t="s">
        <v>27</v>
      </c>
      <c r="C117" s="7">
        <v>45805</v>
      </c>
      <c r="D117" s="5">
        <v>825142000051254</v>
      </c>
      <c r="E117" s="4" t="e">
        <v>#N/A</v>
      </c>
      <c r="F117" s="4" t="s">
        <v>11</v>
      </c>
      <c r="G117" s="6">
        <v>7380.45</v>
      </c>
      <c r="H117" s="4" t="s">
        <v>15</v>
      </c>
      <c r="I117" s="4" t="s">
        <v>59</v>
      </c>
      <c r="J117" s="6">
        <v>10.9</v>
      </c>
      <c r="K117" s="6" t="str">
        <f>I117&amp;J117</f>
        <v>E5JNKN9QY0000-OC391760X14309-2025-03-1210.9</v>
      </c>
      <c r="L117" s="4" t="str">
        <f>IF(COUNTIF(D:D,D117)&gt;1,"D","N")</f>
        <v>D</v>
      </c>
      <c r="M117" s="4">
        <f>COUNTIFS(D:D,D117,F:F,"UPDATED")</f>
        <v>0</v>
      </c>
      <c r="N117" s="4">
        <f>COUNTIFS(D:D,D117,F:F,"NOT UPDATED")</f>
        <v>21</v>
      </c>
      <c r="O117" s="4">
        <f>COUNTIF(D:D,D117)</f>
        <v>21</v>
      </c>
    </row>
    <row r="118" spans="1:15" hidden="1" x14ac:dyDescent="0.25">
      <c r="A118" s="4">
        <v>229</v>
      </c>
      <c r="B118" s="4" t="s">
        <v>27</v>
      </c>
      <c r="C118" s="7">
        <v>45805</v>
      </c>
      <c r="D118" s="5">
        <v>825142000051254</v>
      </c>
      <c r="E118" s="4" t="e">
        <v>#N/A</v>
      </c>
      <c r="F118" s="4" t="s">
        <v>11</v>
      </c>
      <c r="G118" s="6">
        <v>7380.45</v>
      </c>
      <c r="H118" s="4" t="s">
        <v>29</v>
      </c>
      <c r="I118" s="4" t="s">
        <v>59</v>
      </c>
      <c r="J118" s="6">
        <v>-10.9</v>
      </c>
      <c r="K118" s="6" t="str">
        <f>I118&amp;J118</f>
        <v>E5JNKN9QY0000-OC391760X14309-2025-03-12-10.9</v>
      </c>
      <c r="L118" s="4" t="str">
        <f>IF(COUNTIF(D:D,D118)&gt;1,"D","N")</f>
        <v>D</v>
      </c>
      <c r="M118" s="4">
        <f>COUNTIFS(D:D,D118,F:F,"UPDATED")</f>
        <v>0</v>
      </c>
      <c r="N118" s="4">
        <f>COUNTIFS(D:D,D118,F:F,"NOT UPDATED")</f>
        <v>21</v>
      </c>
      <c r="O118" s="4">
        <f>COUNTIF(D:D,D118)</f>
        <v>21</v>
      </c>
    </row>
    <row r="119" spans="1:15" hidden="1" x14ac:dyDescent="0.25">
      <c r="A119" s="4">
        <v>230</v>
      </c>
      <c r="B119" s="4" t="s">
        <v>27</v>
      </c>
      <c r="C119" s="7">
        <v>45805</v>
      </c>
      <c r="D119" s="5">
        <v>825142000051254</v>
      </c>
      <c r="E119" s="4" t="e">
        <v>#N/A</v>
      </c>
      <c r="F119" s="4" t="s">
        <v>11</v>
      </c>
      <c r="G119" s="6">
        <v>7380.45</v>
      </c>
      <c r="H119" s="4" t="s">
        <v>15</v>
      </c>
      <c r="I119" s="4" t="s">
        <v>60</v>
      </c>
      <c r="J119" s="6">
        <v>9.81</v>
      </c>
      <c r="K119" s="6" t="str">
        <f>I119&amp;J119</f>
        <v>E5JNKTGMW0000-OC395239X21712-2025-03-199.81</v>
      </c>
      <c r="L119" s="4" t="str">
        <f>IF(COUNTIF(D:D,D119)&gt;1,"D","N")</f>
        <v>D</v>
      </c>
      <c r="M119" s="4">
        <f>COUNTIFS(D:D,D119,F:F,"UPDATED")</f>
        <v>0</v>
      </c>
      <c r="N119" s="4">
        <f>COUNTIFS(D:D,D119,F:F,"NOT UPDATED")</f>
        <v>21</v>
      </c>
      <c r="O119" s="4">
        <f>COUNTIF(D:D,D119)</f>
        <v>21</v>
      </c>
    </row>
    <row r="120" spans="1:15" hidden="1" x14ac:dyDescent="0.25">
      <c r="A120" s="4">
        <v>231</v>
      </c>
      <c r="B120" s="4" t="s">
        <v>27</v>
      </c>
      <c r="C120" s="7">
        <v>45805</v>
      </c>
      <c r="D120" s="5">
        <v>825142000051254</v>
      </c>
      <c r="E120" s="4" t="e">
        <v>#N/A</v>
      </c>
      <c r="F120" s="4" t="s">
        <v>11</v>
      </c>
      <c r="G120" s="6">
        <v>7380.45</v>
      </c>
      <c r="H120" s="4" t="s">
        <v>29</v>
      </c>
      <c r="I120" s="4" t="s">
        <v>60</v>
      </c>
      <c r="J120" s="6">
        <v>-9.81</v>
      </c>
      <c r="K120" s="6" t="str">
        <f>I120&amp;J120</f>
        <v>E5JNKTGMW0000-OC395239X21712-2025-03-19-9.81</v>
      </c>
      <c r="L120" s="4" t="str">
        <f>IF(COUNTIF(D:D,D120)&gt;1,"D","N")</f>
        <v>D</v>
      </c>
      <c r="M120" s="4">
        <f>COUNTIFS(D:D,D120,F:F,"UPDATED")</f>
        <v>0</v>
      </c>
      <c r="N120" s="4">
        <f>COUNTIFS(D:D,D120,F:F,"NOT UPDATED")</f>
        <v>21</v>
      </c>
      <c r="O120" s="4">
        <f>COUNTIF(D:D,D120)</f>
        <v>21</v>
      </c>
    </row>
    <row r="121" spans="1:15" hidden="1" x14ac:dyDescent="0.25">
      <c r="A121" s="4">
        <v>232</v>
      </c>
      <c r="B121" s="4" t="s">
        <v>27</v>
      </c>
      <c r="C121" s="7">
        <v>45805</v>
      </c>
      <c r="D121" s="5">
        <v>825142000051254</v>
      </c>
      <c r="E121" s="4" t="e">
        <v>#N/A</v>
      </c>
      <c r="F121" s="4" t="s">
        <v>11</v>
      </c>
      <c r="G121" s="6">
        <v>7380.45</v>
      </c>
      <c r="H121" s="4" t="s">
        <v>15</v>
      </c>
      <c r="I121" s="4" t="s">
        <v>61</v>
      </c>
      <c r="J121" s="6">
        <v>10.9</v>
      </c>
      <c r="K121" s="6" t="str">
        <f>I121&amp;J121</f>
        <v>E8PDKJYZK0000-OC385650X48037-2025-03-0310.9</v>
      </c>
      <c r="L121" s="4" t="str">
        <f>IF(COUNTIF(D:D,D121)&gt;1,"D","N")</f>
        <v>D</v>
      </c>
      <c r="M121" s="4">
        <f>COUNTIFS(D:D,D121,F:F,"UPDATED")</f>
        <v>0</v>
      </c>
      <c r="N121" s="4">
        <f>COUNTIFS(D:D,D121,F:F,"NOT UPDATED")</f>
        <v>21</v>
      </c>
      <c r="O121" s="4">
        <f>COUNTIF(D:D,D121)</f>
        <v>21</v>
      </c>
    </row>
    <row r="122" spans="1:15" hidden="1" x14ac:dyDescent="0.25">
      <c r="A122" s="4">
        <v>233</v>
      </c>
      <c r="B122" s="4" t="s">
        <v>27</v>
      </c>
      <c r="C122" s="7">
        <v>45805</v>
      </c>
      <c r="D122" s="5">
        <v>825142000051254</v>
      </c>
      <c r="E122" s="4" t="e">
        <v>#N/A</v>
      </c>
      <c r="F122" s="4" t="s">
        <v>11</v>
      </c>
      <c r="G122" s="6">
        <v>7380.45</v>
      </c>
      <c r="H122" s="4" t="s">
        <v>29</v>
      </c>
      <c r="I122" s="4" t="s">
        <v>61</v>
      </c>
      <c r="J122" s="6">
        <v>-10.9</v>
      </c>
      <c r="K122" s="6" t="str">
        <f>I122&amp;J122</f>
        <v>E8PDKJYZK0000-OC385650X48037-2025-03-03-10.9</v>
      </c>
      <c r="L122" s="4" t="str">
        <f>IF(COUNTIF(D:D,D122)&gt;1,"D","N")</f>
        <v>D</v>
      </c>
      <c r="M122" s="4">
        <f>COUNTIFS(D:D,D122,F:F,"UPDATED")</f>
        <v>0</v>
      </c>
      <c r="N122" s="4">
        <f>COUNTIFS(D:D,D122,F:F,"NOT UPDATED")</f>
        <v>21</v>
      </c>
      <c r="O122" s="4">
        <f>COUNTIF(D:D,D122)</f>
        <v>21</v>
      </c>
    </row>
    <row r="123" spans="1:15" hidden="1" x14ac:dyDescent="0.25">
      <c r="A123" s="4">
        <v>214</v>
      </c>
      <c r="B123" s="4" t="s">
        <v>27</v>
      </c>
      <c r="C123" s="7">
        <v>45805</v>
      </c>
      <c r="D123" s="5">
        <v>825142000051254</v>
      </c>
      <c r="E123" s="4" t="e">
        <v>#N/A</v>
      </c>
      <c r="F123" s="4" t="s">
        <v>11</v>
      </c>
      <c r="G123" s="6">
        <v>7380.45</v>
      </c>
      <c r="H123" s="4" t="s">
        <v>15</v>
      </c>
      <c r="I123" s="4" t="s">
        <v>62</v>
      </c>
      <c r="J123" s="6">
        <v>10.9</v>
      </c>
      <c r="K123" s="6" t="str">
        <f>I123&amp;J123</f>
        <v>EBY2MM0580000-OC393893X4652-2025-03-1710.9</v>
      </c>
      <c r="L123" s="4" t="str">
        <f>IF(COUNTIF(D:D,D123)&gt;1,"D","N")</f>
        <v>D</v>
      </c>
      <c r="M123" s="4">
        <f>COUNTIFS(D:D,D123,F:F,"UPDATED")</f>
        <v>0</v>
      </c>
      <c r="N123" s="4">
        <f>COUNTIFS(D:D,D123,F:F,"NOT UPDATED")</f>
        <v>21</v>
      </c>
      <c r="O123" s="4">
        <f>COUNTIF(D:D,D123)</f>
        <v>21</v>
      </c>
    </row>
    <row r="124" spans="1:15" hidden="1" x14ac:dyDescent="0.25">
      <c r="A124" s="4">
        <v>215</v>
      </c>
      <c r="B124" s="4" t="s">
        <v>27</v>
      </c>
      <c r="C124" s="7">
        <v>45805</v>
      </c>
      <c r="D124" s="5">
        <v>825142000051254</v>
      </c>
      <c r="E124" s="4" t="e">
        <v>#N/A</v>
      </c>
      <c r="F124" s="4" t="s">
        <v>11</v>
      </c>
      <c r="G124" s="6">
        <v>7380.45</v>
      </c>
      <c r="H124" s="4" t="s">
        <v>29</v>
      </c>
      <c r="I124" s="4" t="s">
        <v>62</v>
      </c>
      <c r="J124" s="6">
        <v>-10.9</v>
      </c>
      <c r="K124" s="6" t="str">
        <f>I124&amp;J124</f>
        <v>EBY2MM0580000-OC393893X4652-2025-03-17-10.9</v>
      </c>
      <c r="L124" s="4" t="str">
        <f>IF(COUNTIF(D:D,D124)&gt;1,"D","N")</f>
        <v>D</v>
      </c>
      <c r="M124" s="4">
        <f>COUNTIFS(D:D,D124,F:F,"UPDATED")</f>
        <v>0</v>
      </c>
      <c r="N124" s="4">
        <f>COUNTIFS(D:D,D124,F:F,"NOT UPDATED")</f>
        <v>21</v>
      </c>
      <c r="O124" s="4">
        <f>COUNTIF(D:D,D124)</f>
        <v>21</v>
      </c>
    </row>
    <row r="125" spans="1:15" hidden="1" x14ac:dyDescent="0.25">
      <c r="A125" s="4">
        <v>216</v>
      </c>
      <c r="B125" s="4" t="s">
        <v>27</v>
      </c>
      <c r="C125" s="7">
        <v>45805</v>
      </c>
      <c r="D125" s="5">
        <v>825142000051254</v>
      </c>
      <c r="E125" s="4" t="e">
        <v>#N/A</v>
      </c>
      <c r="F125" s="4" t="s">
        <v>11</v>
      </c>
      <c r="G125" s="6">
        <v>7380.45</v>
      </c>
      <c r="H125" s="4" t="s">
        <v>15</v>
      </c>
      <c r="I125" s="4" t="s">
        <v>63</v>
      </c>
      <c r="J125" s="6">
        <v>29.2</v>
      </c>
      <c r="K125" s="6" t="str">
        <f>I125&amp;J125</f>
        <v>EFY2MH37M0000-OC390731X27371-2025-02-2129.2</v>
      </c>
      <c r="L125" s="4" t="str">
        <f>IF(COUNTIF(D:D,D125)&gt;1,"D","N")</f>
        <v>D</v>
      </c>
      <c r="M125" s="4">
        <f>COUNTIFS(D:D,D125,F:F,"UPDATED")</f>
        <v>0</v>
      </c>
      <c r="N125" s="4">
        <f>COUNTIFS(D:D,D125,F:F,"NOT UPDATED")</f>
        <v>21</v>
      </c>
      <c r="O125" s="4">
        <f>COUNTIF(D:D,D125)</f>
        <v>21</v>
      </c>
    </row>
    <row r="126" spans="1:15" hidden="1" x14ac:dyDescent="0.25">
      <c r="A126" s="4">
        <v>217</v>
      </c>
      <c r="B126" s="4" t="s">
        <v>27</v>
      </c>
      <c r="C126" s="7">
        <v>45805</v>
      </c>
      <c r="D126" s="5">
        <v>825142000051254</v>
      </c>
      <c r="E126" s="4" t="e">
        <v>#N/A</v>
      </c>
      <c r="F126" s="4" t="s">
        <v>11</v>
      </c>
      <c r="G126" s="6">
        <v>7380.45</v>
      </c>
      <c r="H126" s="4" t="s">
        <v>29</v>
      </c>
      <c r="I126" s="4" t="s">
        <v>63</v>
      </c>
      <c r="J126" s="6">
        <v>-29.2</v>
      </c>
      <c r="K126" s="6" t="str">
        <f>I126&amp;J126</f>
        <v>EFY2MH37M0000-OC390731X27371-2025-02-21-29.2</v>
      </c>
      <c r="L126" s="4" t="str">
        <f>IF(COUNTIF(D:D,D126)&gt;1,"D","N")</f>
        <v>D</v>
      </c>
      <c r="M126" s="4">
        <f>COUNTIFS(D:D,D126,F:F,"UPDATED")</f>
        <v>0</v>
      </c>
      <c r="N126" s="4">
        <f>COUNTIFS(D:D,D126,F:F,"NOT UPDATED")</f>
        <v>21</v>
      </c>
      <c r="O126" s="4">
        <f>COUNTIF(D:D,D126)</f>
        <v>21</v>
      </c>
    </row>
    <row r="127" spans="1:15" hidden="1" x14ac:dyDescent="0.25">
      <c r="A127" s="4">
        <v>218</v>
      </c>
      <c r="B127" s="4" t="s">
        <v>27</v>
      </c>
      <c r="C127" s="7">
        <v>45805</v>
      </c>
      <c r="D127" s="5">
        <v>825142000051254</v>
      </c>
      <c r="E127" s="4" t="e">
        <v>#N/A</v>
      </c>
      <c r="F127" s="4" t="s">
        <v>11</v>
      </c>
      <c r="G127" s="6">
        <v>7380.45</v>
      </c>
      <c r="H127" s="4" t="s">
        <v>15</v>
      </c>
      <c r="I127" s="4" t="s">
        <v>64</v>
      </c>
      <c r="J127" s="6">
        <v>10.9</v>
      </c>
      <c r="K127" s="6" t="str">
        <f>I127&amp;J127</f>
        <v>EK37MQJJY0000-OC400166X48654-2025-03-2810.9</v>
      </c>
      <c r="L127" s="4" t="str">
        <f>IF(COUNTIF(D:D,D127)&gt;1,"D","N")</f>
        <v>D</v>
      </c>
      <c r="M127" s="4">
        <f>COUNTIFS(D:D,D127,F:F,"UPDATED")</f>
        <v>0</v>
      </c>
      <c r="N127" s="4">
        <f>COUNTIFS(D:D,D127,F:F,"NOT UPDATED")</f>
        <v>21</v>
      </c>
      <c r="O127" s="4">
        <f>COUNTIF(D:D,D127)</f>
        <v>21</v>
      </c>
    </row>
    <row r="128" spans="1:15" hidden="1" x14ac:dyDescent="0.25">
      <c r="A128" s="4">
        <v>219</v>
      </c>
      <c r="B128" s="4" t="s">
        <v>27</v>
      </c>
      <c r="C128" s="7">
        <v>45805</v>
      </c>
      <c r="D128" s="5">
        <v>825142000051254</v>
      </c>
      <c r="E128" s="4" t="e">
        <v>#N/A</v>
      </c>
      <c r="F128" s="4" t="s">
        <v>11</v>
      </c>
      <c r="G128" s="6">
        <v>7380.45</v>
      </c>
      <c r="H128" s="4" t="s">
        <v>29</v>
      </c>
      <c r="I128" s="4" t="s">
        <v>64</v>
      </c>
      <c r="J128" s="6">
        <v>-10.9</v>
      </c>
      <c r="K128" s="6" t="str">
        <f>I128&amp;J128</f>
        <v>EK37MQJJY0000-OC400166X48654-2025-03-28-10.9</v>
      </c>
      <c r="L128" s="4" t="str">
        <f>IF(COUNTIF(D:D,D128)&gt;1,"D","N")</f>
        <v>D</v>
      </c>
      <c r="M128" s="4">
        <f>COUNTIFS(D:D,D128,F:F,"UPDATED")</f>
        <v>0</v>
      </c>
      <c r="N128" s="4">
        <f>COUNTIFS(D:D,D128,F:F,"NOT UPDATED")</f>
        <v>21</v>
      </c>
      <c r="O128" s="4">
        <f>COUNTIF(D:D,D128)</f>
        <v>21</v>
      </c>
    </row>
    <row r="129" spans="1:15" hidden="1" x14ac:dyDescent="0.25">
      <c r="A129" s="4">
        <v>220</v>
      </c>
      <c r="B129" s="4" t="s">
        <v>27</v>
      </c>
      <c r="C129" s="7">
        <v>45805</v>
      </c>
      <c r="D129" s="5">
        <v>825142000051254</v>
      </c>
      <c r="E129" s="4" t="e">
        <v>#N/A</v>
      </c>
      <c r="F129" s="4" t="s">
        <v>11</v>
      </c>
      <c r="G129" s="6">
        <v>7380.45</v>
      </c>
      <c r="H129" s="4" t="s">
        <v>15</v>
      </c>
      <c r="I129" s="4" t="s">
        <v>65</v>
      </c>
      <c r="J129" s="6">
        <v>10.9</v>
      </c>
      <c r="K129" s="6" t="str">
        <f>I129&amp;J129</f>
        <v>EPY2M7P120000-OC410395X4290-2025-04-1810.9</v>
      </c>
      <c r="L129" s="4" t="str">
        <f>IF(COUNTIF(D:D,D129)&gt;1,"D","N")</f>
        <v>D</v>
      </c>
      <c r="M129" s="4">
        <f>COUNTIFS(D:D,D129,F:F,"UPDATED")</f>
        <v>0</v>
      </c>
      <c r="N129" s="4">
        <f>COUNTIFS(D:D,D129,F:F,"NOT UPDATED")</f>
        <v>21</v>
      </c>
      <c r="O129" s="4">
        <f>COUNTIF(D:D,D129)</f>
        <v>21</v>
      </c>
    </row>
    <row r="130" spans="1:15" hidden="1" x14ac:dyDescent="0.25">
      <c r="A130" s="4">
        <v>221</v>
      </c>
      <c r="B130" s="4" t="s">
        <v>27</v>
      </c>
      <c r="C130" s="7">
        <v>45805</v>
      </c>
      <c r="D130" s="5">
        <v>825142000051254</v>
      </c>
      <c r="E130" s="4" t="e">
        <v>#N/A</v>
      </c>
      <c r="F130" s="4" t="s">
        <v>11</v>
      </c>
      <c r="G130" s="6">
        <v>7380.45</v>
      </c>
      <c r="H130" s="4" t="s">
        <v>29</v>
      </c>
      <c r="I130" s="4" t="s">
        <v>65</v>
      </c>
      <c r="J130" s="6">
        <v>-10.9</v>
      </c>
      <c r="K130" s="6" t="str">
        <f>I130&amp;J130</f>
        <v>EPY2M7P120000-OC410395X4290-2025-04-18-10.9</v>
      </c>
      <c r="L130" s="4" t="str">
        <f>IF(COUNTIF(D:D,D130)&gt;1,"D","N")</f>
        <v>D</v>
      </c>
      <c r="M130" s="4">
        <f>COUNTIFS(D:D,D130,F:F,"UPDATED")</f>
        <v>0</v>
      </c>
      <c r="N130" s="4">
        <f>COUNTIFS(D:D,D130,F:F,"NOT UPDATED")</f>
        <v>21</v>
      </c>
      <c r="O130" s="4">
        <f>COUNTIF(D:D,D130)</f>
        <v>21</v>
      </c>
    </row>
    <row r="131" spans="1:15" hidden="1" x14ac:dyDescent="0.25">
      <c r="A131" s="4">
        <v>222</v>
      </c>
      <c r="B131" s="4" t="s">
        <v>27</v>
      </c>
      <c r="C131" s="7">
        <v>45805</v>
      </c>
      <c r="D131" s="5">
        <v>825142000051254</v>
      </c>
      <c r="E131" s="4" t="e">
        <v>#N/A</v>
      </c>
      <c r="F131" s="4" t="s">
        <v>11</v>
      </c>
      <c r="G131" s="6">
        <v>7380.45</v>
      </c>
      <c r="H131" s="4" t="s">
        <v>15</v>
      </c>
      <c r="I131" s="4" t="s">
        <v>66</v>
      </c>
      <c r="J131" s="6">
        <v>128.04</v>
      </c>
      <c r="K131" s="6" t="str">
        <f>I131&amp;J131</f>
        <v>EQTYMDGWK0000-OC388180X15610-2025-03-06128.04</v>
      </c>
      <c r="L131" s="4" t="str">
        <f>IF(COUNTIF(D:D,D131)&gt;1,"D","N")</f>
        <v>D</v>
      </c>
      <c r="M131" s="4">
        <f>COUNTIFS(D:D,D131,F:F,"UPDATED")</f>
        <v>0</v>
      </c>
      <c r="N131" s="4">
        <f>COUNTIFS(D:D,D131,F:F,"NOT UPDATED")</f>
        <v>21</v>
      </c>
      <c r="O131" s="4">
        <f>COUNTIF(D:D,D131)</f>
        <v>21</v>
      </c>
    </row>
    <row r="132" spans="1:15" hidden="1" x14ac:dyDescent="0.25">
      <c r="A132" s="4">
        <v>223</v>
      </c>
      <c r="B132" s="4" t="s">
        <v>27</v>
      </c>
      <c r="C132" s="7">
        <v>45805</v>
      </c>
      <c r="D132" s="5">
        <v>825142000051254</v>
      </c>
      <c r="E132" s="4" t="e">
        <v>#N/A</v>
      </c>
      <c r="F132" s="4" t="s">
        <v>11</v>
      </c>
      <c r="G132" s="6">
        <v>7380.45</v>
      </c>
      <c r="H132" s="4" t="s">
        <v>29</v>
      </c>
      <c r="I132" s="4" t="s">
        <v>66</v>
      </c>
      <c r="J132" s="6">
        <v>-128.04</v>
      </c>
      <c r="K132" s="6" t="str">
        <f>I132&amp;J132</f>
        <v>EQTYMDGWK0000-OC388180X15610-2025-03-06-128.04</v>
      </c>
      <c r="L132" s="4" t="str">
        <f>IF(COUNTIF(D:D,D132)&gt;1,"D","N")</f>
        <v>D</v>
      </c>
      <c r="M132" s="4">
        <f>COUNTIFS(D:D,D132,F:F,"UPDATED")</f>
        <v>0</v>
      </c>
      <c r="N132" s="4">
        <f>COUNTIFS(D:D,D132,F:F,"NOT UPDATED")</f>
        <v>21</v>
      </c>
      <c r="O132" s="4">
        <f>COUNTIF(D:D,D132)</f>
        <v>21</v>
      </c>
    </row>
    <row r="133" spans="1:15" hidden="1" x14ac:dyDescent="0.25">
      <c r="A133" s="4">
        <v>9</v>
      </c>
      <c r="B133" s="4" t="s">
        <v>27</v>
      </c>
      <c r="C133" s="7">
        <v>45779</v>
      </c>
      <c r="D133" s="5">
        <v>882511801009799</v>
      </c>
      <c r="E133" s="4">
        <v>882511801009799</v>
      </c>
      <c r="F133" s="4" t="s">
        <v>339</v>
      </c>
      <c r="G133" s="6">
        <v>440.38</v>
      </c>
      <c r="H133" s="4" t="s">
        <v>15</v>
      </c>
      <c r="I133" s="4" t="s">
        <v>166</v>
      </c>
      <c r="J133" s="6">
        <v>51.4</v>
      </c>
      <c r="K133" s="6" t="str">
        <f>I133&amp;J133</f>
        <v>ENFDLP4330000-OC373782X16072-2025-02-0651.4</v>
      </c>
      <c r="L133" s="4" t="str">
        <f>IF(COUNTIF(D:D,D133)&gt;1,"D","N")</f>
        <v>N</v>
      </c>
      <c r="M133" s="4">
        <f>COUNTIFS(D:D,D133,F:F,"UPDATED")</f>
        <v>1</v>
      </c>
      <c r="N133" s="4">
        <f>COUNTIFS(D:D,D133,F:F,"NOT UPDATED")</f>
        <v>0</v>
      </c>
      <c r="O133" s="4">
        <f>COUNTIF(D:D,D133)</f>
        <v>1</v>
      </c>
    </row>
    <row r="134" spans="1:15" hidden="1" x14ac:dyDescent="0.25">
      <c r="A134" s="4">
        <v>21</v>
      </c>
      <c r="B134" s="4" t="s">
        <v>27</v>
      </c>
      <c r="C134" s="7">
        <v>45782</v>
      </c>
      <c r="D134" s="5">
        <v>882511901020525</v>
      </c>
      <c r="E134" s="4">
        <v>882511901020525</v>
      </c>
      <c r="F134" s="4" t="s">
        <v>339</v>
      </c>
      <c r="G134" s="6">
        <v>373.06</v>
      </c>
      <c r="H134" s="4" t="s">
        <v>15</v>
      </c>
      <c r="I134" s="4" t="s">
        <v>167</v>
      </c>
      <c r="J134" s="6">
        <v>-31.35</v>
      </c>
      <c r="K134" s="6" t="str">
        <f>I134&amp;J134</f>
        <v>ENY2MN5L80000-OC397970X4573-2025-03-25-31.35</v>
      </c>
      <c r="L134" s="4" t="str">
        <f>IF(COUNTIF(D:D,D134)&gt;1,"D","N")</f>
        <v>N</v>
      </c>
      <c r="M134" s="4">
        <f>COUNTIFS(D:D,D134,F:F,"UPDATED")</f>
        <v>1</v>
      </c>
      <c r="N134" s="4">
        <f>COUNTIFS(D:D,D134,F:F,"NOT UPDATED")</f>
        <v>0</v>
      </c>
      <c r="O134" s="4">
        <f>COUNTIF(D:D,D134)</f>
        <v>1</v>
      </c>
    </row>
    <row r="135" spans="1:15" hidden="1" x14ac:dyDescent="0.25">
      <c r="A135" s="4">
        <v>54</v>
      </c>
      <c r="B135" s="4" t="s">
        <v>27</v>
      </c>
      <c r="C135" s="7">
        <v>45784</v>
      </c>
      <c r="D135" s="5">
        <v>882512101008147</v>
      </c>
      <c r="E135" s="4" t="e">
        <v>#N/A</v>
      </c>
      <c r="F135" s="4" t="s">
        <v>11</v>
      </c>
      <c r="G135" s="6">
        <v>659.29</v>
      </c>
      <c r="H135" s="4">
        <v>72</v>
      </c>
      <c r="I135" s="4" t="s">
        <v>67</v>
      </c>
      <c r="J135" s="6">
        <v>-93.51</v>
      </c>
      <c r="K135" s="6" t="str">
        <f>I135&amp;J135</f>
        <v>EWY13N5KZ0000-OC90781X2339-2023-03-17-93.51</v>
      </c>
      <c r="L135" s="4" t="str">
        <f>IF(COUNTIF(D:D,D135)&gt;1,"D","N")</f>
        <v>D</v>
      </c>
      <c r="M135" s="4">
        <f>COUNTIFS(D:D,D135,F:F,"UPDATED")</f>
        <v>0</v>
      </c>
      <c r="N135" s="4">
        <f>COUNTIFS(D:D,D135,F:F,"NOT UPDATED")</f>
        <v>2</v>
      </c>
      <c r="O135" s="4">
        <f>COUNTIF(D:D,D135)</f>
        <v>2</v>
      </c>
    </row>
    <row r="136" spans="1:15" hidden="1" x14ac:dyDescent="0.25">
      <c r="A136" s="4">
        <v>55</v>
      </c>
      <c r="B136" s="4" t="s">
        <v>27</v>
      </c>
      <c r="C136" s="7">
        <v>45784</v>
      </c>
      <c r="D136" s="5">
        <v>882512101008147</v>
      </c>
      <c r="E136" s="4" t="e">
        <v>#N/A</v>
      </c>
      <c r="F136" s="4" t="s">
        <v>11</v>
      </c>
      <c r="G136" s="6">
        <v>659.29</v>
      </c>
      <c r="H136" s="4" t="s">
        <v>15</v>
      </c>
      <c r="I136" s="4" t="s">
        <v>67</v>
      </c>
      <c r="J136" s="6">
        <v>93.51</v>
      </c>
      <c r="K136" s="6" t="str">
        <f>I136&amp;J136</f>
        <v>EWY13N5KZ0000-OC90781X2339-2023-03-1793.51</v>
      </c>
      <c r="L136" s="4" t="str">
        <f>IF(COUNTIF(D:D,D136)&gt;1,"D","N")</f>
        <v>D</v>
      </c>
      <c r="M136" s="4">
        <f>COUNTIFS(D:D,D136,F:F,"UPDATED")</f>
        <v>0</v>
      </c>
      <c r="N136" s="4">
        <f>COUNTIFS(D:D,D136,F:F,"NOT UPDATED")</f>
        <v>2</v>
      </c>
      <c r="O136" s="4">
        <f>COUNTIF(D:D,D136)</f>
        <v>2</v>
      </c>
    </row>
    <row r="137" spans="1:15" hidden="1" x14ac:dyDescent="0.25">
      <c r="A137" s="4">
        <v>56</v>
      </c>
      <c r="B137" s="4" t="s">
        <v>27</v>
      </c>
      <c r="C137" s="7">
        <v>45784</v>
      </c>
      <c r="D137" s="5">
        <v>882512201004630</v>
      </c>
      <c r="E137" s="4" t="e">
        <v>#N/A</v>
      </c>
      <c r="F137" s="4" t="s">
        <v>11</v>
      </c>
      <c r="G137" s="6">
        <v>2188.9499999999998</v>
      </c>
      <c r="H137" s="4" t="s">
        <v>15</v>
      </c>
      <c r="I137" s="4" t="s">
        <v>168</v>
      </c>
      <c r="J137" s="6">
        <v>-50.78</v>
      </c>
      <c r="K137" s="6" t="str">
        <f>I137&amp;J137</f>
        <v>E1JNFKCC70000-OC292096X26614-2024-08-07-50.78</v>
      </c>
      <c r="L137" s="4" t="str">
        <f>IF(COUNTIF(D:D,D137)&gt;1,"D","N")</f>
        <v>D</v>
      </c>
      <c r="M137" s="4">
        <f>COUNTIFS(D:D,D137,F:F,"UPDATED")</f>
        <v>0</v>
      </c>
      <c r="N137" s="4">
        <f>COUNTIFS(D:D,D137,F:F,"NOT UPDATED")</f>
        <v>3</v>
      </c>
      <c r="O137" s="4">
        <f>COUNTIF(D:D,D137)</f>
        <v>3</v>
      </c>
    </row>
    <row r="138" spans="1:15" hidden="1" x14ac:dyDescent="0.25">
      <c r="A138" s="4">
        <v>57</v>
      </c>
      <c r="B138" s="4" t="s">
        <v>27</v>
      </c>
      <c r="C138" s="7">
        <v>45784</v>
      </c>
      <c r="D138" s="5">
        <v>882512201004630</v>
      </c>
      <c r="E138" s="4" t="e">
        <v>#N/A</v>
      </c>
      <c r="F138" s="4" t="s">
        <v>11</v>
      </c>
      <c r="G138" s="6">
        <v>2188.9499999999998</v>
      </c>
      <c r="H138" s="4" t="s">
        <v>15</v>
      </c>
      <c r="I138" s="4" t="s">
        <v>169</v>
      </c>
      <c r="J138" s="6">
        <v>49.59</v>
      </c>
      <c r="K138" s="6" t="str">
        <f>I138&amp;J138</f>
        <v>EHY2CLJZK0000-OC211702X31277-2024-03-0149.59</v>
      </c>
      <c r="L138" s="4" t="str">
        <f>IF(COUNTIF(D:D,D138)&gt;1,"D","N")</f>
        <v>D</v>
      </c>
      <c r="M138" s="4">
        <f>COUNTIFS(D:D,D138,F:F,"UPDATED")</f>
        <v>0</v>
      </c>
      <c r="N138" s="4">
        <f>COUNTIFS(D:D,D138,F:F,"NOT UPDATED")</f>
        <v>3</v>
      </c>
      <c r="O138" s="4">
        <f>COUNTIF(D:D,D138)</f>
        <v>3</v>
      </c>
    </row>
    <row r="139" spans="1:15" hidden="1" x14ac:dyDescent="0.25">
      <c r="A139" s="4">
        <v>58</v>
      </c>
      <c r="B139" s="4" t="s">
        <v>27</v>
      </c>
      <c r="C139" s="7">
        <v>45784</v>
      </c>
      <c r="D139" s="5">
        <v>882512201004630</v>
      </c>
      <c r="E139" s="4" t="e">
        <v>#N/A</v>
      </c>
      <c r="F139" s="4" t="s">
        <v>11</v>
      </c>
      <c r="G139" s="6">
        <v>2188.9499999999998</v>
      </c>
      <c r="H139" s="4" t="s">
        <v>15</v>
      </c>
      <c r="I139" s="4" t="s">
        <v>170</v>
      </c>
      <c r="J139" s="6">
        <v>43.77</v>
      </c>
      <c r="K139" s="6" t="str">
        <f>I139&amp;J139</f>
        <v>EQTX862BF0000-OC167271X20670-2023-10-2143.77</v>
      </c>
      <c r="L139" s="4" t="str">
        <f>IF(COUNTIF(D:D,D139)&gt;1,"D","N")</f>
        <v>D</v>
      </c>
      <c r="M139" s="4">
        <f>COUNTIFS(D:D,D139,F:F,"UPDATED")</f>
        <v>0</v>
      </c>
      <c r="N139" s="4">
        <f>COUNTIFS(D:D,D139,F:F,"NOT UPDATED")</f>
        <v>3</v>
      </c>
      <c r="O139" s="4">
        <f>COUNTIF(D:D,D139)</f>
        <v>3</v>
      </c>
    </row>
    <row r="140" spans="1:15" hidden="1" x14ac:dyDescent="0.25">
      <c r="A140" s="4">
        <v>127</v>
      </c>
      <c r="B140" s="4" t="s">
        <v>27</v>
      </c>
      <c r="C140" s="7">
        <v>45791</v>
      </c>
      <c r="D140" s="5">
        <v>882512901003067</v>
      </c>
      <c r="E140" s="4">
        <v>882512901003067</v>
      </c>
      <c r="F140" s="4" t="s">
        <v>339</v>
      </c>
      <c r="G140" s="6">
        <v>3123.87</v>
      </c>
      <c r="H140" s="4" t="s">
        <v>15</v>
      </c>
      <c r="I140" s="4" t="s">
        <v>171</v>
      </c>
      <c r="J140" s="6">
        <v>-28.46</v>
      </c>
      <c r="K140" s="6" t="str">
        <f>I140&amp;J140</f>
        <v>EZADKX18N0002-OC398291X26441-2025-03-24-28.46</v>
      </c>
      <c r="L140" s="4" t="str">
        <f>IF(COUNTIF(D:D,D140)&gt;1,"D","N")</f>
        <v>N</v>
      </c>
      <c r="M140" s="4">
        <f>COUNTIFS(D:D,D140,F:F,"UPDATED")</f>
        <v>1</v>
      </c>
      <c r="N140" s="4">
        <f>COUNTIFS(D:D,D140,F:F,"NOT UPDATED")</f>
        <v>0</v>
      </c>
      <c r="O140" s="4">
        <f>COUNTIF(D:D,D140)</f>
        <v>1</v>
      </c>
    </row>
    <row r="141" spans="1:15" hidden="1" x14ac:dyDescent="0.25">
      <c r="A141" s="4">
        <v>297</v>
      </c>
      <c r="B141" s="4" t="s">
        <v>27</v>
      </c>
      <c r="D141" s="5">
        <v>882513501002825</v>
      </c>
      <c r="E141" s="4">
        <v>882513501002825</v>
      </c>
      <c r="F141" s="4" t="s">
        <v>339</v>
      </c>
      <c r="G141" s="6">
        <v>4193.33</v>
      </c>
      <c r="H141" s="4" t="s">
        <v>15</v>
      </c>
      <c r="I141" s="4" t="s">
        <v>172</v>
      </c>
      <c r="J141" s="6">
        <v>-72.39</v>
      </c>
      <c r="K141" s="6" t="str">
        <f>I141&amp;J141</f>
        <v>E7JNHY3N90000-OC349467X40474-2024-12-13-72.39</v>
      </c>
      <c r="L141" s="4" t="str">
        <f>IF(COUNTIF(D:D,D141)&gt;1,"D","N")</f>
        <v>N</v>
      </c>
      <c r="M141" s="4">
        <f>COUNTIFS(D:D,D141,F:F,"UPDATED")</f>
        <v>1</v>
      </c>
      <c r="N141" s="4">
        <f>COUNTIFS(D:D,D141,F:F,"NOT UPDATED")</f>
        <v>0</v>
      </c>
      <c r="O141" s="4">
        <f>COUNTIF(D:D,D141)</f>
        <v>1</v>
      </c>
    </row>
    <row r="142" spans="1:15" hidden="1" x14ac:dyDescent="0.25">
      <c r="A142" s="4">
        <v>188</v>
      </c>
      <c r="B142" s="4" t="s">
        <v>27</v>
      </c>
      <c r="C142" s="7">
        <v>45804</v>
      </c>
      <c r="D142" s="5">
        <v>882514001011015</v>
      </c>
      <c r="E142" s="4" t="e">
        <v>#N/A</v>
      </c>
      <c r="F142" s="4" t="s">
        <v>11</v>
      </c>
      <c r="G142" s="6">
        <v>386.65</v>
      </c>
      <c r="H142" s="4" t="s">
        <v>15</v>
      </c>
      <c r="I142" s="4" t="s">
        <v>173</v>
      </c>
      <c r="J142" s="6">
        <v>78.430000000000007</v>
      </c>
      <c r="K142" s="6" t="str">
        <f>I142&amp;J142</f>
        <v>ECADLK3DV0000-OC369872X45680-2025-01-1378.43</v>
      </c>
      <c r="L142" s="4" t="str">
        <f>IF(COUNTIF(D:D,D142)&gt;1,"D","N")</f>
        <v>D</v>
      </c>
      <c r="M142" s="4">
        <f>COUNTIFS(D:D,D142,F:F,"UPDATED")</f>
        <v>0</v>
      </c>
      <c r="N142" s="4">
        <f>COUNTIFS(D:D,D142,F:F,"NOT UPDATED")</f>
        <v>4</v>
      </c>
      <c r="O142" s="4">
        <f>COUNTIF(D:D,D142)</f>
        <v>4</v>
      </c>
    </row>
    <row r="143" spans="1:15" hidden="1" x14ac:dyDescent="0.25">
      <c r="A143" s="4">
        <v>189</v>
      </c>
      <c r="B143" s="4" t="s">
        <v>27</v>
      </c>
      <c r="C143" s="7">
        <v>45804</v>
      </c>
      <c r="D143" s="5">
        <v>882514001011015</v>
      </c>
      <c r="E143" s="4" t="e">
        <v>#N/A</v>
      </c>
      <c r="F143" s="4" t="s">
        <v>11</v>
      </c>
      <c r="G143" s="6">
        <v>386.65</v>
      </c>
      <c r="H143" s="4" t="s">
        <v>15</v>
      </c>
      <c r="I143" s="4" t="s">
        <v>174</v>
      </c>
      <c r="J143" s="6">
        <v>120.11</v>
      </c>
      <c r="K143" s="6" t="str">
        <f>I143&amp;J143</f>
        <v>ECTYK4MXY0000-OC359791X44854-2025-01-05120.11</v>
      </c>
      <c r="L143" s="4" t="str">
        <f>IF(COUNTIF(D:D,D143)&gt;1,"D","N")</f>
        <v>D</v>
      </c>
      <c r="M143" s="4">
        <f>COUNTIFS(D:D,D143,F:F,"UPDATED")</f>
        <v>0</v>
      </c>
      <c r="N143" s="4">
        <f>COUNTIFS(D:D,D143,F:F,"NOT UPDATED")</f>
        <v>4</v>
      </c>
      <c r="O143" s="4">
        <f>COUNTIF(D:D,D143)</f>
        <v>4</v>
      </c>
    </row>
    <row r="144" spans="1:15" hidden="1" x14ac:dyDescent="0.25">
      <c r="A144" s="4">
        <v>190</v>
      </c>
      <c r="B144" s="4" t="s">
        <v>27</v>
      </c>
      <c r="C144" s="7">
        <v>45804</v>
      </c>
      <c r="D144" s="5">
        <v>882514001011015</v>
      </c>
      <c r="E144" s="4" t="e">
        <v>#N/A</v>
      </c>
      <c r="F144" s="4" t="s">
        <v>11</v>
      </c>
      <c r="G144" s="6">
        <v>386.65</v>
      </c>
      <c r="H144" s="4" t="s">
        <v>15</v>
      </c>
      <c r="I144" s="4" t="s">
        <v>175</v>
      </c>
      <c r="J144" s="6">
        <v>78.430000000000007</v>
      </c>
      <c r="K144" s="6" t="str">
        <f>I144&amp;J144</f>
        <v>ELFDLKDFK0000-OC369344X222-2025-01-2478.43</v>
      </c>
      <c r="L144" s="4" t="str">
        <f>IF(COUNTIF(D:D,D144)&gt;1,"D","N")</f>
        <v>D</v>
      </c>
      <c r="M144" s="4">
        <f>COUNTIFS(D:D,D144,F:F,"UPDATED")</f>
        <v>0</v>
      </c>
      <c r="N144" s="4">
        <f>COUNTIFS(D:D,D144,F:F,"NOT UPDATED")</f>
        <v>4</v>
      </c>
      <c r="O144" s="4">
        <f>COUNTIF(D:D,D144)</f>
        <v>4</v>
      </c>
    </row>
    <row r="145" spans="1:15" hidden="1" x14ac:dyDescent="0.25">
      <c r="A145" s="4">
        <v>191</v>
      </c>
      <c r="B145" s="4" t="s">
        <v>27</v>
      </c>
      <c r="C145" s="7">
        <v>45804</v>
      </c>
      <c r="D145" s="5">
        <v>882514001011015</v>
      </c>
      <c r="E145" s="4" t="e">
        <v>#N/A</v>
      </c>
      <c r="F145" s="4" t="s">
        <v>11</v>
      </c>
      <c r="G145" s="6">
        <v>386.65</v>
      </c>
      <c r="H145" s="4" t="s">
        <v>15</v>
      </c>
      <c r="I145" s="4" t="s">
        <v>176</v>
      </c>
      <c r="J145" s="6">
        <v>116.56</v>
      </c>
      <c r="K145" s="6" t="str">
        <f>I145&amp;J145</f>
        <v>ESFDJTQSP0000-OC368667X222-2025-01-24116.56</v>
      </c>
      <c r="L145" s="4" t="str">
        <f>IF(COUNTIF(D:D,D145)&gt;1,"D","N")</f>
        <v>D</v>
      </c>
      <c r="M145" s="4">
        <f>COUNTIFS(D:D,D145,F:F,"UPDATED")</f>
        <v>0</v>
      </c>
      <c r="N145" s="4">
        <f>COUNTIFS(D:D,D145,F:F,"NOT UPDATED")</f>
        <v>4</v>
      </c>
      <c r="O145" s="4">
        <f>COUNTIF(D:D,D145)</f>
        <v>4</v>
      </c>
    </row>
    <row r="146" spans="1:15" hidden="1" x14ac:dyDescent="0.25">
      <c r="A146" s="4">
        <v>236</v>
      </c>
      <c r="B146" s="4" t="s">
        <v>27</v>
      </c>
      <c r="C146" s="7">
        <v>45805</v>
      </c>
      <c r="D146" s="5">
        <v>882514101003213</v>
      </c>
      <c r="E146" s="4" t="e">
        <v>#N/A</v>
      </c>
      <c r="F146" s="4" t="s">
        <v>11</v>
      </c>
      <c r="G146" s="6">
        <v>2424.6799999999998</v>
      </c>
      <c r="H146" s="4" t="s">
        <v>15</v>
      </c>
      <c r="I146" s="4" t="s">
        <v>177</v>
      </c>
      <c r="J146" s="6">
        <v>66.67</v>
      </c>
      <c r="K146" s="6" t="str">
        <f>I146&amp;J146</f>
        <v>ECADLMVYP0001-OC370968X222-2025-01-2466.67</v>
      </c>
      <c r="L146" s="4" t="str">
        <f>IF(COUNTIF(D:D,D146)&gt;1,"D","N")</f>
        <v>N</v>
      </c>
      <c r="M146" s="4">
        <f>COUNTIFS(D:D,D146,F:F,"UPDATED")</f>
        <v>0</v>
      </c>
      <c r="N146" s="4">
        <f>COUNTIFS(D:D,D146,F:F,"NOT UPDATED")</f>
        <v>1</v>
      </c>
      <c r="O146" s="4">
        <f>COUNTIF(D:D,D146)</f>
        <v>1</v>
      </c>
    </row>
    <row r="147" spans="1:15" hidden="1" x14ac:dyDescent="0.25">
      <c r="A147" s="4">
        <v>248</v>
      </c>
      <c r="B147" s="4" t="s">
        <v>27</v>
      </c>
      <c r="C147" s="7">
        <v>45806</v>
      </c>
      <c r="D147" s="5">
        <v>882514301003219</v>
      </c>
      <c r="E147" s="4" t="e">
        <v>#N/A</v>
      </c>
      <c r="F147" s="4" t="s">
        <v>11</v>
      </c>
      <c r="G147" s="6">
        <v>5317.2</v>
      </c>
      <c r="H147" s="4" t="s">
        <v>15</v>
      </c>
      <c r="I147" s="4" t="s">
        <v>178</v>
      </c>
      <c r="J147" s="6">
        <v>125.31</v>
      </c>
      <c r="K147" s="6" t="str">
        <f>I147&amp;J147</f>
        <v>E4PDKFKX40000-OC383446X7661-2025-02-06125.31</v>
      </c>
      <c r="L147" s="4" t="str">
        <f>IF(COUNTIF(D:D,D147)&gt;1,"D","N")</f>
        <v>N</v>
      </c>
      <c r="M147" s="4">
        <f>COUNTIFS(D:D,D147,F:F,"UPDATED")</f>
        <v>0</v>
      </c>
      <c r="N147" s="4">
        <f>COUNTIFS(D:D,D147,F:F,"NOT UPDATED")</f>
        <v>1</v>
      </c>
      <c r="O147" s="4">
        <f>COUNTIF(D:D,D147)</f>
        <v>1</v>
      </c>
    </row>
    <row r="148" spans="1:15" hidden="1" x14ac:dyDescent="0.25">
      <c r="A148" s="4">
        <v>128</v>
      </c>
      <c r="B148" s="4" t="s">
        <v>27</v>
      </c>
      <c r="C148" s="7">
        <v>45791</v>
      </c>
      <c r="D148" s="5">
        <v>892512901025347</v>
      </c>
      <c r="E148" s="4">
        <v>892512901025347</v>
      </c>
      <c r="F148" s="4" t="s">
        <v>339</v>
      </c>
      <c r="G148" s="6">
        <v>244.16</v>
      </c>
      <c r="H148" s="4" t="s">
        <v>15</v>
      </c>
      <c r="I148" s="4" t="s">
        <v>68</v>
      </c>
      <c r="J148" s="6">
        <v>123.7</v>
      </c>
      <c r="K148" s="6" t="str">
        <f>I148&amp;J148</f>
        <v>EYFDKSS5Y0000-OC394143X45903-2025-03-17123.7</v>
      </c>
      <c r="L148" s="4" t="str">
        <f>IF(COUNTIF(D:D,D148)&gt;1,"D","N")</f>
        <v>N</v>
      </c>
      <c r="M148" s="4">
        <f>COUNTIFS(D:D,D148,F:F,"UPDATED")</f>
        <v>1</v>
      </c>
      <c r="N148" s="4">
        <f>COUNTIFS(D:D,D148,F:F,"NOT UPDATED")</f>
        <v>0</v>
      </c>
      <c r="O148" s="4">
        <f>COUNTIF(D:D,D148)</f>
        <v>1</v>
      </c>
    </row>
    <row r="149" spans="1:15" x14ac:dyDescent="0.25">
      <c r="A149" s="4">
        <v>322</v>
      </c>
      <c r="B149" s="4" t="s">
        <v>87</v>
      </c>
      <c r="D149" s="5" t="s">
        <v>90</v>
      </c>
      <c r="E149" s="4" t="e">
        <v>#N/A</v>
      </c>
      <c r="F149" s="4" t="s">
        <v>11</v>
      </c>
      <c r="G149" s="6" t="s">
        <v>91</v>
      </c>
      <c r="H149" s="4" t="s">
        <v>15</v>
      </c>
      <c r="I149" s="4" t="s">
        <v>18</v>
      </c>
      <c r="J149" s="6">
        <v>41.23</v>
      </c>
      <c r="K149" s="6" t="str">
        <f>I149&amp;J149</f>
        <v>53019AG41.23</v>
      </c>
      <c r="L149" s="4" t="str">
        <f>IF(COUNTIF(D:D,D149)&gt;1,"D","N")</f>
        <v>D</v>
      </c>
      <c r="M149" s="4">
        <f>COUNTIFS(D:D,D149,F:F,"UPDATED")</f>
        <v>0</v>
      </c>
      <c r="N149" s="4">
        <f>COUNTIFS(D:D,D149,F:F,"NOT UPDATED")</f>
        <v>4</v>
      </c>
      <c r="O149" s="4">
        <f>COUNTIF(D:D,D149)</f>
        <v>4</v>
      </c>
    </row>
    <row r="150" spans="1:15" hidden="1" x14ac:dyDescent="0.25">
      <c r="A150" s="4">
        <v>249</v>
      </c>
      <c r="B150" s="4" t="s">
        <v>27</v>
      </c>
      <c r="C150" s="7">
        <v>45806</v>
      </c>
      <c r="D150" s="5">
        <v>892514301019269</v>
      </c>
      <c r="E150" s="4" t="e">
        <v>#N/A</v>
      </c>
      <c r="F150" s="4" t="s">
        <v>11</v>
      </c>
      <c r="G150" s="6">
        <v>248.77</v>
      </c>
      <c r="H150" s="4" t="s">
        <v>15</v>
      </c>
      <c r="I150" s="4" t="s">
        <v>70</v>
      </c>
      <c r="J150" s="6">
        <v>47.61</v>
      </c>
      <c r="K150" s="6" t="str">
        <f>I150&amp;J150</f>
        <v>EFADND8PN0001-OC413589X49034-2025-04-0747.61</v>
      </c>
      <c r="L150" s="4" t="str">
        <f>IF(COUNTIF(D:D,D150)&gt;1,"D","N")</f>
        <v>N</v>
      </c>
      <c r="M150" s="4">
        <f>COUNTIFS(D:D,D150,F:F,"UPDATED")</f>
        <v>0</v>
      </c>
      <c r="N150" s="4">
        <f>COUNTIFS(D:D,D150,F:F,"NOT UPDATED")</f>
        <v>1</v>
      </c>
      <c r="O150" s="4">
        <f>COUNTIF(D:D,D150)</f>
        <v>1</v>
      </c>
    </row>
    <row r="151" spans="1:15" hidden="1" x14ac:dyDescent="0.25">
      <c r="A151" s="4">
        <v>22</v>
      </c>
      <c r="B151" s="4" t="s">
        <v>27</v>
      </c>
      <c r="C151" s="7">
        <v>45782</v>
      </c>
      <c r="D151" s="5">
        <v>925125000400651</v>
      </c>
      <c r="E151" s="4" t="e">
        <v>#N/A</v>
      </c>
      <c r="F151" s="4" t="s">
        <v>11</v>
      </c>
      <c r="G151" s="6">
        <v>0</v>
      </c>
      <c r="H151" s="4" t="s">
        <v>12</v>
      </c>
      <c r="I151" s="4">
        <v>925125000400651</v>
      </c>
      <c r="J151" s="6">
        <v>-9.26</v>
      </c>
      <c r="K151" s="6" t="str">
        <f>I151&amp;J151</f>
        <v>925125000400651-9.26</v>
      </c>
      <c r="L151" s="4" t="str">
        <f>IF(COUNTIF(D:D,D151)&gt;1,"D","N")</f>
        <v>N</v>
      </c>
      <c r="M151" s="4">
        <f>COUNTIFS(D:D,D151,F:F,"UPDATED")</f>
        <v>0</v>
      </c>
      <c r="N151" s="4">
        <f>COUNTIFS(D:D,D151,F:F,"NOT UPDATED")</f>
        <v>1</v>
      </c>
      <c r="O151" s="4">
        <f>COUNTIF(D:D,D151)</f>
        <v>1</v>
      </c>
    </row>
    <row r="152" spans="1:15" hidden="1" x14ac:dyDescent="0.25">
      <c r="A152" s="4">
        <v>88</v>
      </c>
      <c r="B152" s="4" t="s">
        <v>27</v>
      </c>
      <c r="C152" s="7">
        <v>45789</v>
      </c>
      <c r="D152" s="5">
        <v>925132000253736</v>
      </c>
      <c r="E152" s="4" t="e">
        <v>#N/A</v>
      </c>
      <c r="F152" s="4" t="s">
        <v>11</v>
      </c>
      <c r="G152" s="6">
        <v>0</v>
      </c>
      <c r="H152" s="4" t="s">
        <v>12</v>
      </c>
      <c r="I152" s="4">
        <v>925132000253736</v>
      </c>
      <c r="J152" s="6">
        <v>-10.9</v>
      </c>
      <c r="K152" s="6" t="str">
        <f>I152&amp;J152</f>
        <v>925132000253736-10.9</v>
      </c>
      <c r="L152" s="4" t="str">
        <f>IF(COUNTIF(D:D,D152)&gt;1,"D","N")</f>
        <v>N</v>
      </c>
      <c r="M152" s="4">
        <f>COUNTIFS(D:D,D152,F:F,"UPDATED")</f>
        <v>0</v>
      </c>
      <c r="N152" s="4">
        <f>COUNTIFS(D:D,D152,F:F,"NOT UPDATED")</f>
        <v>1</v>
      </c>
      <c r="O152" s="4">
        <f>COUNTIF(D:D,D152)</f>
        <v>1</v>
      </c>
    </row>
    <row r="153" spans="1:15" hidden="1" x14ac:dyDescent="0.25">
      <c r="A153" s="4">
        <v>158</v>
      </c>
      <c r="B153" s="4" t="s">
        <v>27</v>
      </c>
      <c r="C153" s="7">
        <v>45796</v>
      </c>
      <c r="D153" s="5">
        <v>925139000140407</v>
      </c>
      <c r="E153" s="4" t="e">
        <v>#N/A</v>
      </c>
      <c r="F153" s="4" t="s">
        <v>11</v>
      </c>
      <c r="G153" s="6">
        <v>0</v>
      </c>
      <c r="H153" s="4" t="s">
        <v>12</v>
      </c>
      <c r="I153" s="4">
        <v>925139000140407</v>
      </c>
      <c r="J153" s="6">
        <v>-1953.8</v>
      </c>
      <c r="K153" s="6" t="str">
        <f>I153&amp;J153</f>
        <v>925139000140407-1953.8</v>
      </c>
      <c r="L153" s="4" t="str">
        <f>IF(COUNTIF(D:D,D153)&gt;1,"D","N")</f>
        <v>N</v>
      </c>
      <c r="M153" s="4">
        <f>COUNTIFS(D:D,D153,F:F,"UPDATED")</f>
        <v>0</v>
      </c>
      <c r="N153" s="4">
        <f>COUNTIFS(D:D,D153,F:F,"NOT UPDATED")</f>
        <v>1</v>
      </c>
      <c r="O153" s="4">
        <f>COUNTIF(D:D,D153)</f>
        <v>1</v>
      </c>
    </row>
    <row r="154" spans="1:15" hidden="1" x14ac:dyDescent="0.25">
      <c r="A154" s="4">
        <v>298</v>
      </c>
      <c r="B154" s="4" t="s">
        <v>27</v>
      </c>
      <c r="D154" s="5">
        <v>925141000328234</v>
      </c>
      <c r="E154" s="4" t="e">
        <v>#N/A</v>
      </c>
      <c r="F154" s="4" t="s">
        <v>11</v>
      </c>
      <c r="G154" s="6">
        <v>0</v>
      </c>
      <c r="H154" s="4" t="s">
        <v>12</v>
      </c>
      <c r="I154" s="4">
        <v>925139000140407</v>
      </c>
      <c r="J154" s="6">
        <v>1953.8</v>
      </c>
      <c r="K154" s="6" t="str">
        <f>I154&amp;J154</f>
        <v>9251390001404071953.8</v>
      </c>
      <c r="L154" s="4" t="str">
        <f>IF(COUNTIF(D:D,D154)&gt;1,"D","N")</f>
        <v>D</v>
      </c>
      <c r="M154" s="4">
        <f>COUNTIFS(D:D,D154,F:F,"UPDATED")</f>
        <v>0</v>
      </c>
      <c r="N154" s="4">
        <f>COUNTIFS(D:D,D154,F:F,"NOT UPDATED")</f>
        <v>4</v>
      </c>
      <c r="O154" s="4">
        <f>COUNTIF(D:D,D154)</f>
        <v>4</v>
      </c>
    </row>
    <row r="155" spans="1:15" hidden="1" x14ac:dyDescent="0.25">
      <c r="A155" s="4">
        <v>301</v>
      </c>
      <c r="B155" s="4" t="s">
        <v>27</v>
      </c>
      <c r="D155" s="5">
        <v>925141000328234</v>
      </c>
      <c r="E155" s="4" t="e">
        <v>#N/A</v>
      </c>
      <c r="F155" s="4" t="s">
        <v>11</v>
      </c>
      <c r="G155" s="6">
        <v>0</v>
      </c>
      <c r="H155" s="4" t="s">
        <v>12</v>
      </c>
      <c r="I155" s="4">
        <v>925141000328234</v>
      </c>
      <c r="J155" s="6">
        <v>-1402.85</v>
      </c>
      <c r="K155" s="6" t="str">
        <f>I155&amp;J155</f>
        <v>925141000328234-1402.85</v>
      </c>
      <c r="L155" s="4" t="str">
        <f>IF(COUNTIF(D:D,D155)&gt;1,"D","N")</f>
        <v>D</v>
      </c>
      <c r="M155" s="4">
        <f>COUNTIFS(D:D,D155,F:F,"UPDATED")</f>
        <v>0</v>
      </c>
      <c r="N155" s="4">
        <f>COUNTIFS(D:D,D155,F:F,"NOT UPDATED")</f>
        <v>4</v>
      </c>
      <c r="O155" s="4">
        <f>COUNTIF(D:D,D155)</f>
        <v>4</v>
      </c>
    </row>
    <row r="156" spans="1:15" hidden="1" x14ac:dyDescent="0.25">
      <c r="A156" s="4">
        <v>299</v>
      </c>
      <c r="B156" s="4" t="s">
        <v>27</v>
      </c>
      <c r="D156" s="5">
        <v>925141000328234</v>
      </c>
      <c r="E156" s="4" t="e">
        <v>#N/A</v>
      </c>
      <c r="F156" s="4" t="s">
        <v>11</v>
      </c>
      <c r="G156" s="6">
        <v>0</v>
      </c>
      <c r="H156" s="4" t="s">
        <v>15</v>
      </c>
      <c r="I156" s="4" t="s">
        <v>58</v>
      </c>
      <c r="J156" s="6">
        <v>550.95000000000005</v>
      </c>
      <c r="K156" s="6" t="str">
        <f>I156&amp;J156</f>
        <v>E3JNGDZ9G0000-OC315166X42109-2024-09-24550.95</v>
      </c>
      <c r="L156" s="4" t="str">
        <f>IF(COUNTIF(D:D,D156)&gt;1,"D","N")</f>
        <v>D</v>
      </c>
      <c r="M156" s="4">
        <f>COUNTIFS(D:D,D156,F:F,"UPDATED")</f>
        <v>0</v>
      </c>
      <c r="N156" s="4">
        <f>COUNTIFS(D:D,D156,F:F,"NOT UPDATED")</f>
        <v>4</v>
      </c>
      <c r="O156" s="4">
        <f>COUNTIF(D:D,D156)</f>
        <v>4</v>
      </c>
    </row>
    <row r="157" spans="1:15" hidden="1" x14ac:dyDescent="0.25">
      <c r="A157" s="4">
        <v>300</v>
      </c>
      <c r="B157" s="4" t="s">
        <v>27</v>
      </c>
      <c r="D157" s="5">
        <v>925141000328234</v>
      </c>
      <c r="E157" s="4" t="e">
        <v>#N/A</v>
      </c>
      <c r="F157" s="4" t="s">
        <v>11</v>
      </c>
      <c r="G157" s="6">
        <v>0</v>
      </c>
      <c r="H157" s="4" t="s">
        <v>29</v>
      </c>
      <c r="I157" s="4" t="s">
        <v>58</v>
      </c>
      <c r="J157" s="6">
        <v>-550.95000000000005</v>
      </c>
      <c r="K157" s="6" t="str">
        <f>I157&amp;J157</f>
        <v>E3JNGDZ9G0000-OC315166X42109-2024-09-24-550.95</v>
      </c>
      <c r="L157" s="4" t="str">
        <f>IF(COUNTIF(D:D,D157)&gt;1,"D","N")</f>
        <v>D</v>
      </c>
      <c r="M157" s="4">
        <f>COUNTIFS(D:D,D157,F:F,"UPDATED")</f>
        <v>0</v>
      </c>
      <c r="N157" s="4">
        <f>COUNTIFS(D:D,D157,F:F,"NOT UPDATED")</f>
        <v>4</v>
      </c>
      <c r="O157" s="4">
        <f>COUNTIF(D:D,D157)</f>
        <v>4</v>
      </c>
    </row>
    <row r="158" spans="1:15" hidden="1" x14ac:dyDescent="0.25">
      <c r="A158" s="4">
        <v>237</v>
      </c>
      <c r="B158" s="4" t="s">
        <v>27</v>
      </c>
      <c r="C158" s="7">
        <v>45805</v>
      </c>
      <c r="D158" s="5">
        <v>925148000290692</v>
      </c>
      <c r="E158" s="4" t="e">
        <v>#N/A</v>
      </c>
      <c r="F158" s="4" t="s">
        <v>11</v>
      </c>
      <c r="G158" s="6">
        <v>0</v>
      </c>
      <c r="H158" s="4" t="s">
        <v>12</v>
      </c>
      <c r="I158" s="4">
        <v>925148000290692</v>
      </c>
      <c r="J158" s="6">
        <v>-10.9</v>
      </c>
      <c r="K158" s="6" t="str">
        <f>I158&amp;J158</f>
        <v>925148000290692-10.9</v>
      </c>
      <c r="L158" s="4" t="str">
        <f>IF(COUNTIF(D:D,D158)&gt;1,"D","N")</f>
        <v>N</v>
      </c>
      <c r="M158" s="4">
        <f>COUNTIFS(D:D,D158,F:F,"UPDATED")</f>
        <v>0</v>
      </c>
      <c r="N158" s="4">
        <f>COUNTIFS(D:D,D158,F:F,"NOT UPDATED")</f>
        <v>1</v>
      </c>
      <c r="O158" s="4">
        <f>COUNTIF(D:D,D158)</f>
        <v>1</v>
      </c>
    </row>
    <row r="159" spans="1:15" hidden="1" x14ac:dyDescent="0.25">
      <c r="A159" s="4">
        <v>262</v>
      </c>
      <c r="B159" s="4" t="s">
        <v>27</v>
      </c>
      <c r="C159" s="7">
        <v>45807</v>
      </c>
      <c r="D159" s="5">
        <v>925150000042006</v>
      </c>
      <c r="E159" s="4" t="e">
        <v>#N/A</v>
      </c>
      <c r="F159" s="4" t="s">
        <v>11</v>
      </c>
      <c r="G159" s="6">
        <v>0</v>
      </c>
      <c r="H159" s="4" t="s">
        <v>12</v>
      </c>
      <c r="I159" s="4">
        <v>925150000042006</v>
      </c>
      <c r="J159" s="6">
        <v>-10.9</v>
      </c>
      <c r="K159" s="6" t="str">
        <f>I159&amp;J159</f>
        <v>925150000042006-10.9</v>
      </c>
      <c r="L159" s="4" t="str">
        <f>IF(COUNTIF(D:D,D159)&gt;1,"D","N")</f>
        <v>N</v>
      </c>
      <c r="M159" s="4">
        <f>COUNTIFS(D:D,D159,F:F,"UPDATED")</f>
        <v>0</v>
      </c>
      <c r="N159" s="4">
        <f>COUNTIFS(D:D,D159,F:F,"NOT UPDATED")</f>
        <v>1</v>
      </c>
      <c r="O159" s="4">
        <f>COUNTIF(D:D,D159)</f>
        <v>1</v>
      </c>
    </row>
    <row r="160" spans="1:15" hidden="1" x14ac:dyDescent="0.25">
      <c r="A160" s="4">
        <v>270</v>
      </c>
      <c r="B160" s="4" t="s">
        <v>27</v>
      </c>
      <c r="C160" s="7">
        <v>45808</v>
      </c>
      <c r="D160" s="5">
        <v>925151000003557</v>
      </c>
      <c r="E160" s="4" t="e">
        <v>#N/A</v>
      </c>
      <c r="F160" s="4" t="s">
        <v>11</v>
      </c>
      <c r="G160" s="6">
        <v>0</v>
      </c>
      <c r="H160" s="4" t="s">
        <v>12</v>
      </c>
      <c r="I160" s="4">
        <v>925150000042006</v>
      </c>
      <c r="J160" s="6">
        <v>10.9</v>
      </c>
      <c r="K160" s="6" t="str">
        <f>I160&amp;J160</f>
        <v>92515000004200610.9</v>
      </c>
      <c r="L160" s="4" t="str">
        <f>IF(COUNTIF(D:D,D160)&gt;1,"D","N")</f>
        <v>D</v>
      </c>
      <c r="M160" s="4">
        <f>COUNTIFS(D:D,D160,F:F,"UPDATED")</f>
        <v>0</v>
      </c>
      <c r="N160" s="4">
        <f>COUNTIFS(D:D,D160,F:F,"NOT UPDATED")</f>
        <v>2</v>
      </c>
      <c r="O160" s="4">
        <f>COUNTIF(D:D,D160)</f>
        <v>2</v>
      </c>
    </row>
    <row r="161" spans="1:15" hidden="1" x14ac:dyDescent="0.25">
      <c r="A161" s="4">
        <v>271</v>
      </c>
      <c r="B161" s="4" t="s">
        <v>27</v>
      </c>
      <c r="C161" s="7">
        <v>45808</v>
      </c>
      <c r="D161" s="5">
        <v>925151000003557</v>
      </c>
      <c r="E161" s="4" t="e">
        <v>#N/A</v>
      </c>
      <c r="F161" s="4" t="s">
        <v>11</v>
      </c>
      <c r="G161" s="6">
        <v>0</v>
      </c>
      <c r="H161" s="4" t="s">
        <v>12</v>
      </c>
      <c r="I161" s="4">
        <v>925151000003557</v>
      </c>
      <c r="J161" s="6">
        <v>-21.8</v>
      </c>
      <c r="K161" s="6" t="str">
        <f>I161&amp;J161</f>
        <v>925151000003557-21.8</v>
      </c>
      <c r="L161" s="4" t="str">
        <f>IF(COUNTIF(D:D,D161)&gt;1,"D","N")</f>
        <v>D</v>
      </c>
      <c r="M161" s="4">
        <f>COUNTIFS(D:D,D161,F:F,"UPDATED")</f>
        <v>0</v>
      </c>
      <c r="N161" s="4">
        <f>COUNTIFS(D:D,D161,F:F,"NOT UPDATED")</f>
        <v>2</v>
      </c>
      <c r="O161" s="4">
        <f>COUNTIF(D:D,D161)</f>
        <v>2</v>
      </c>
    </row>
    <row r="162" spans="1:15" hidden="1" x14ac:dyDescent="0.25">
      <c r="A162" s="4">
        <v>84</v>
      </c>
      <c r="B162" s="4" t="s">
        <v>27</v>
      </c>
      <c r="C162" s="7">
        <v>45786</v>
      </c>
      <c r="D162" s="5">
        <v>992512801018072</v>
      </c>
      <c r="E162" s="4" t="e">
        <v>#N/A</v>
      </c>
      <c r="F162" s="4" t="s">
        <v>11</v>
      </c>
      <c r="G162" s="6">
        <v>0</v>
      </c>
      <c r="H162" s="4" t="s">
        <v>15</v>
      </c>
      <c r="I162" s="4" t="s">
        <v>68</v>
      </c>
      <c r="J162" s="6">
        <v>-123.7</v>
      </c>
      <c r="K162" s="6" t="str">
        <f>I162&amp;J162</f>
        <v>EYFDKSS5Y0000-OC394143X45903-2025-03-17-123.7</v>
      </c>
      <c r="L162" s="4" t="str">
        <f>IF(COUNTIF(D:D,D162)&gt;1,"D","N")</f>
        <v>N</v>
      </c>
      <c r="M162" s="4">
        <f>COUNTIFS(D:D,D162,F:F,"UPDATED")</f>
        <v>0</v>
      </c>
      <c r="N162" s="4">
        <f>COUNTIFS(D:D,D162,F:F,"NOT UPDATED")</f>
        <v>1</v>
      </c>
      <c r="O162" s="4">
        <f>COUNTIF(D:D,D162)</f>
        <v>1</v>
      </c>
    </row>
    <row r="163" spans="1:15" hidden="1" x14ac:dyDescent="0.25">
      <c r="A163" s="4">
        <v>180</v>
      </c>
      <c r="B163" s="4" t="s">
        <v>27</v>
      </c>
      <c r="C163" s="7">
        <v>45800</v>
      </c>
      <c r="D163" s="5">
        <v>992514201025542</v>
      </c>
      <c r="E163" s="4" t="e">
        <v>#N/A</v>
      </c>
      <c r="F163" s="4" t="s">
        <v>11</v>
      </c>
      <c r="G163" s="6">
        <v>0</v>
      </c>
      <c r="H163" s="4" t="s">
        <v>15</v>
      </c>
      <c r="I163" s="4" t="s">
        <v>70</v>
      </c>
      <c r="J163" s="6">
        <v>-47.61</v>
      </c>
      <c r="K163" s="6" t="str">
        <f>I163&amp;J163</f>
        <v>EFADND8PN0001-OC413589X49034-2025-04-07-47.61</v>
      </c>
      <c r="L163" s="4" t="str">
        <f>IF(COUNTIF(D:D,D163)&gt;1,"D","N")</f>
        <v>N</v>
      </c>
      <c r="M163" s="4">
        <f>COUNTIFS(D:D,D163,F:F,"UPDATED")</f>
        <v>0</v>
      </c>
      <c r="N163" s="4">
        <f>COUNTIFS(D:D,D163,F:F,"NOT UPDATED")</f>
        <v>1</v>
      </c>
      <c r="O163" s="4">
        <f>COUNTIF(D:D,D163)</f>
        <v>1</v>
      </c>
    </row>
    <row r="164" spans="1:15" x14ac:dyDescent="0.25">
      <c r="A164" s="4">
        <v>170</v>
      </c>
      <c r="B164" s="4" t="s">
        <v>10</v>
      </c>
      <c r="C164" s="7">
        <v>45797</v>
      </c>
      <c r="D164" s="5">
        <v>800498552</v>
      </c>
      <c r="E164" s="4" t="e">
        <v>#N/A</v>
      </c>
      <c r="F164" s="4" t="s">
        <v>11</v>
      </c>
      <c r="G164" s="6">
        <v>51306.75</v>
      </c>
      <c r="H164" s="4" t="s">
        <v>15</v>
      </c>
      <c r="I164" s="4" t="s">
        <v>19</v>
      </c>
      <c r="J164" s="6">
        <v>0.43</v>
      </c>
      <c r="K164" s="6" t="str">
        <f>I164&amp;J164</f>
        <v>53019AG-I0.43</v>
      </c>
      <c r="L164" s="4" t="str">
        <f>IF(COUNTIF(D:D,D164)&gt;1,"D","N")</f>
        <v>D</v>
      </c>
      <c r="M164" s="4">
        <f>COUNTIFS(D:D,D164,F:F,"UPDATED")</f>
        <v>0</v>
      </c>
      <c r="N164" s="4">
        <f>COUNTIFS(D:D,D164,F:F,"NOT UPDATED")</f>
        <v>4</v>
      </c>
      <c r="O164" s="4">
        <f>COUNTIF(D:D,D164)</f>
        <v>4</v>
      </c>
    </row>
    <row r="165" spans="1:15" x14ac:dyDescent="0.25">
      <c r="A165" s="4">
        <v>320</v>
      </c>
      <c r="B165" s="4" t="s">
        <v>87</v>
      </c>
      <c r="D165" s="5" t="s">
        <v>90</v>
      </c>
      <c r="E165" s="4" t="e">
        <v>#N/A</v>
      </c>
      <c r="F165" s="4" t="s">
        <v>11</v>
      </c>
      <c r="G165" s="6" t="s">
        <v>91</v>
      </c>
      <c r="H165" s="4" t="s">
        <v>15</v>
      </c>
      <c r="I165" s="4" t="s">
        <v>19</v>
      </c>
      <c r="J165" s="6">
        <v>0.43</v>
      </c>
      <c r="K165" s="6" t="str">
        <f>I165&amp;J165</f>
        <v>53019AG-I0.43</v>
      </c>
      <c r="L165" s="4" t="str">
        <f>IF(COUNTIF(D:D,D165)&gt;1,"D","N")</f>
        <v>D</v>
      </c>
      <c r="M165" s="4">
        <f>COUNTIFS(D:D,D165,F:F,"UPDATED")</f>
        <v>0</v>
      </c>
      <c r="N165" s="4">
        <f>COUNTIFS(D:D,D165,F:F,"NOT UPDATED")</f>
        <v>4</v>
      </c>
      <c r="O165" s="4">
        <f>COUNTIF(D:D,D165)</f>
        <v>4</v>
      </c>
    </row>
    <row r="166" spans="1:15" x14ac:dyDescent="0.25">
      <c r="A166" s="4">
        <v>163</v>
      </c>
      <c r="B166" s="4" t="s">
        <v>27</v>
      </c>
      <c r="C166" s="7">
        <v>45797</v>
      </c>
      <c r="D166" s="5">
        <v>825135000323746</v>
      </c>
      <c r="E166" s="4">
        <v>825135000323746</v>
      </c>
      <c r="F166" s="4" t="s">
        <v>339</v>
      </c>
      <c r="G166" s="6">
        <v>1040.0899999999999</v>
      </c>
      <c r="H166" s="4" t="s">
        <v>15</v>
      </c>
      <c r="I166" s="4" t="s">
        <v>51</v>
      </c>
      <c r="J166" s="6">
        <v>8.7200000000000006</v>
      </c>
      <c r="K166" s="6" t="str">
        <f>I166&amp;J166</f>
        <v>E6PDKVH2Y0000-OC393190X6669-2025-03-148.72</v>
      </c>
      <c r="L166" s="4" t="str">
        <f>IF(COUNTIF(D:D,D166)&gt;1,"D","N")</f>
        <v>D</v>
      </c>
      <c r="M166" s="4">
        <f>COUNTIFS(D:D,D166,F:F,"UPDATED")</f>
        <v>2</v>
      </c>
      <c r="N166" s="4">
        <f>COUNTIFS(D:D,D166,F:F,"NOT UPDATED")</f>
        <v>0</v>
      </c>
      <c r="O166" s="4">
        <f>COUNTIF(D:D,D166)</f>
        <v>2</v>
      </c>
    </row>
    <row r="167" spans="1:15" hidden="1" x14ac:dyDescent="0.25">
      <c r="A167" s="4">
        <v>338</v>
      </c>
      <c r="B167" s="4" t="s">
        <v>74</v>
      </c>
      <c r="D167" s="5" t="s">
        <v>179</v>
      </c>
      <c r="E167" s="4" t="e">
        <v>#N/A</v>
      </c>
      <c r="F167" s="4" t="s">
        <v>11</v>
      </c>
      <c r="G167" s="6">
        <v>2860.65</v>
      </c>
      <c r="H167" s="4" t="s">
        <v>15</v>
      </c>
      <c r="I167" s="4" t="s">
        <v>180</v>
      </c>
      <c r="J167" s="6">
        <v>-17.89</v>
      </c>
      <c r="K167" s="6" t="str">
        <f>I167&amp;J167</f>
        <v>OC408894X49677-17.89</v>
      </c>
      <c r="L167" s="4" t="str">
        <f>IF(COUNTIF(D:D,D167)&gt;1,"D","N")</f>
        <v>N</v>
      </c>
      <c r="M167" s="4">
        <f>COUNTIFS(D:D,D167,F:F,"UPDATED")</f>
        <v>0</v>
      </c>
      <c r="N167" s="4">
        <f>COUNTIFS(D:D,D167,F:F,"NOT UPDATED")</f>
        <v>1</v>
      </c>
      <c r="O167" s="4">
        <f>COUNTIF(D:D,D167)</f>
        <v>1</v>
      </c>
    </row>
    <row r="168" spans="1:15" hidden="1" x14ac:dyDescent="0.25">
      <c r="A168" s="4">
        <v>2</v>
      </c>
      <c r="B168" s="4" t="s">
        <v>74</v>
      </c>
      <c r="C168" s="7">
        <v>45778</v>
      </c>
      <c r="D168" s="5" t="s">
        <v>75</v>
      </c>
      <c r="E168" s="4" t="e">
        <v>#N/A</v>
      </c>
      <c r="F168" s="4" t="s">
        <v>11</v>
      </c>
      <c r="G168" s="6">
        <v>0</v>
      </c>
      <c r="H168" s="4" t="s">
        <v>15</v>
      </c>
      <c r="I168" s="4" t="s">
        <v>76</v>
      </c>
      <c r="J168" s="6">
        <v>17.79</v>
      </c>
      <c r="K168" s="6" t="str">
        <f>I168&amp;J168</f>
        <v>216812X90517.79</v>
      </c>
      <c r="L168" s="4" t="str">
        <f>IF(COUNTIF(D:D,D168)&gt;1,"D","N")</f>
        <v>D</v>
      </c>
      <c r="M168" s="4">
        <f>COUNTIFS(D:D,D168,F:F,"UPDATED")</f>
        <v>0</v>
      </c>
      <c r="N168" s="4">
        <f>COUNTIFS(D:D,D168,F:F,"NOT UPDATED")</f>
        <v>4</v>
      </c>
      <c r="O168" s="4">
        <f>COUNTIF(D:D,D168)</f>
        <v>4</v>
      </c>
    </row>
    <row r="169" spans="1:15" hidden="1" x14ac:dyDescent="0.25">
      <c r="A169" s="4">
        <v>1</v>
      </c>
      <c r="B169" s="4" t="s">
        <v>74</v>
      </c>
      <c r="C169" s="7">
        <v>45778</v>
      </c>
      <c r="D169" s="5" t="s">
        <v>75</v>
      </c>
      <c r="E169" s="4" t="e">
        <v>#N/A</v>
      </c>
      <c r="F169" s="4" t="s">
        <v>11</v>
      </c>
      <c r="G169" s="6">
        <v>0</v>
      </c>
      <c r="H169" s="4" t="s">
        <v>15</v>
      </c>
      <c r="I169" s="4" t="s">
        <v>181</v>
      </c>
      <c r="J169" s="6">
        <v>101.87</v>
      </c>
      <c r="K169" s="6" t="str">
        <f>I169&amp;J169</f>
        <v>199413X459101.87</v>
      </c>
      <c r="L169" s="4" t="str">
        <f>IF(COUNTIF(D:D,D169)&gt;1,"D","N")</f>
        <v>D</v>
      </c>
      <c r="M169" s="4">
        <f>COUNTIFS(D:D,D169,F:F,"UPDATED")</f>
        <v>0</v>
      </c>
      <c r="N169" s="4">
        <f>COUNTIFS(D:D,D169,F:F,"NOT UPDATED")</f>
        <v>4</v>
      </c>
      <c r="O169" s="4">
        <f>COUNTIF(D:D,D169)</f>
        <v>4</v>
      </c>
    </row>
    <row r="170" spans="1:15" hidden="1" x14ac:dyDescent="0.25">
      <c r="A170" s="4">
        <v>3</v>
      </c>
      <c r="B170" s="4" t="s">
        <v>74</v>
      </c>
      <c r="C170" s="7">
        <v>45778</v>
      </c>
      <c r="D170" s="5" t="s">
        <v>75</v>
      </c>
      <c r="E170" s="4" t="e">
        <v>#N/A</v>
      </c>
      <c r="F170" s="4" t="s">
        <v>11</v>
      </c>
      <c r="G170" s="6">
        <v>0</v>
      </c>
      <c r="H170" s="4" t="s">
        <v>15</v>
      </c>
      <c r="I170" s="4" t="s">
        <v>182</v>
      </c>
      <c r="J170" s="6">
        <v>62.4</v>
      </c>
      <c r="K170" s="6" t="str">
        <f>I170&amp;J170</f>
        <v>254851X919662.4</v>
      </c>
      <c r="L170" s="4" t="str">
        <f>IF(COUNTIF(D:D,D170)&gt;1,"D","N")</f>
        <v>D</v>
      </c>
      <c r="M170" s="4">
        <f>COUNTIFS(D:D,D170,F:F,"UPDATED")</f>
        <v>0</v>
      </c>
      <c r="N170" s="4">
        <f>COUNTIFS(D:D,D170,F:F,"NOT UPDATED")</f>
        <v>4</v>
      </c>
      <c r="O170" s="4">
        <f>COUNTIF(D:D,D170)</f>
        <v>4</v>
      </c>
    </row>
    <row r="171" spans="1:15" hidden="1" x14ac:dyDescent="0.25">
      <c r="A171" s="4">
        <v>4</v>
      </c>
      <c r="B171" s="4" t="s">
        <v>74</v>
      </c>
      <c r="C171" s="7">
        <v>45778</v>
      </c>
      <c r="D171" s="5" t="s">
        <v>75</v>
      </c>
      <c r="E171" s="4" t="e">
        <v>#N/A</v>
      </c>
      <c r="F171" s="4" t="s">
        <v>11</v>
      </c>
      <c r="G171" s="6">
        <v>0</v>
      </c>
      <c r="H171" s="4" t="s">
        <v>15</v>
      </c>
      <c r="I171" s="4" t="s">
        <v>183</v>
      </c>
      <c r="J171" s="6">
        <v>90.06</v>
      </c>
      <c r="K171" s="6" t="str">
        <f>I171&amp;J171</f>
        <v>265656X864990.06</v>
      </c>
      <c r="L171" s="4" t="str">
        <f>IF(COUNTIF(D:D,D171)&gt;1,"D","N")</f>
        <v>D</v>
      </c>
      <c r="M171" s="4">
        <f>COUNTIFS(D:D,D171,F:F,"UPDATED")</f>
        <v>0</v>
      </c>
      <c r="N171" s="4">
        <f>COUNTIFS(D:D,D171,F:F,"NOT UPDATED")</f>
        <v>4</v>
      </c>
      <c r="O171" s="4">
        <f>COUNTIF(D:D,D171)</f>
        <v>4</v>
      </c>
    </row>
    <row r="172" spans="1:15" hidden="1" x14ac:dyDescent="0.25">
      <c r="A172" s="4">
        <v>29</v>
      </c>
      <c r="B172" s="4" t="s">
        <v>74</v>
      </c>
      <c r="C172" s="7">
        <v>45782</v>
      </c>
      <c r="D172" s="5" t="s">
        <v>77</v>
      </c>
      <c r="E172" s="4" t="s">
        <v>77</v>
      </c>
      <c r="F172" s="4" t="s">
        <v>339</v>
      </c>
      <c r="G172" s="6">
        <v>0</v>
      </c>
      <c r="H172" s="4" t="s">
        <v>15</v>
      </c>
      <c r="I172" s="4" t="s">
        <v>76</v>
      </c>
      <c r="J172" s="6">
        <v>68.03</v>
      </c>
      <c r="K172" s="6" t="str">
        <f>I172&amp;J172</f>
        <v>216812X90568.03</v>
      </c>
      <c r="L172" s="4" t="str">
        <f>IF(COUNTIF(D:D,D172)&gt;1,"D","N")</f>
        <v>N</v>
      </c>
      <c r="M172" s="4">
        <f>COUNTIFS(D:D,D172,F:F,"UPDATED")</f>
        <v>1</v>
      </c>
      <c r="N172" s="4">
        <f>COUNTIFS(D:D,D172,F:F,"NOT UPDATED")</f>
        <v>0</v>
      </c>
      <c r="O172" s="4">
        <f>COUNTIF(D:D,D172)</f>
        <v>1</v>
      </c>
    </row>
    <row r="173" spans="1:15" hidden="1" x14ac:dyDescent="0.25">
      <c r="A173" s="4">
        <v>66</v>
      </c>
      <c r="B173" s="4" t="s">
        <v>78</v>
      </c>
      <c r="C173" s="7">
        <v>45784</v>
      </c>
      <c r="D173" s="5" t="s">
        <v>79</v>
      </c>
      <c r="E173" s="4" t="e">
        <v>#N/A</v>
      </c>
      <c r="F173" s="4" t="s">
        <v>11</v>
      </c>
      <c r="G173" s="6">
        <v>0</v>
      </c>
      <c r="H173" s="4" t="s">
        <v>15</v>
      </c>
      <c r="I173" s="4" t="s">
        <v>80</v>
      </c>
      <c r="J173" s="6">
        <v>395.71</v>
      </c>
      <c r="K173" s="6" t="str">
        <f>I173&amp;J173</f>
        <v>OC302798X35830 242650BDMC01395.71</v>
      </c>
      <c r="L173" s="4" t="str">
        <f>IF(COUNTIF(D:D,D173)&gt;1,"D","N")</f>
        <v>N</v>
      </c>
      <c r="M173" s="4">
        <f>COUNTIFS(D:D,D173,F:F,"UPDATED")</f>
        <v>0</v>
      </c>
      <c r="N173" s="4">
        <f>COUNTIFS(D:D,D173,F:F,"NOT UPDATED")</f>
        <v>1</v>
      </c>
      <c r="O173" s="4">
        <f>COUNTIF(D:D,D173)</f>
        <v>1</v>
      </c>
    </row>
    <row r="174" spans="1:15" hidden="1" x14ac:dyDescent="0.25">
      <c r="A174" s="4">
        <v>92</v>
      </c>
      <c r="B174" s="4" t="s">
        <v>74</v>
      </c>
      <c r="C174" s="7">
        <v>45789</v>
      </c>
      <c r="D174" s="5" t="s">
        <v>81</v>
      </c>
      <c r="E174" s="4" t="e">
        <v>#N/A</v>
      </c>
      <c r="F174" s="4" t="s">
        <v>11</v>
      </c>
      <c r="G174" s="6">
        <v>0</v>
      </c>
      <c r="H174" s="4" t="s">
        <v>15</v>
      </c>
      <c r="I174" s="4" t="s">
        <v>76</v>
      </c>
      <c r="J174" s="6">
        <v>30.91</v>
      </c>
      <c r="K174" s="6" t="str">
        <f>I174&amp;J174</f>
        <v>216812X90530.91</v>
      </c>
      <c r="L174" s="4" t="str">
        <f>IF(COUNTIF(D:D,D174)&gt;1,"D","N")</f>
        <v>D</v>
      </c>
      <c r="M174" s="4">
        <f>COUNTIFS(D:D,D174,F:F,"UPDATED")</f>
        <v>0</v>
      </c>
      <c r="N174" s="4">
        <f>COUNTIFS(D:D,D174,F:F,"NOT UPDATED")</f>
        <v>2</v>
      </c>
      <c r="O174" s="4">
        <f>COUNTIF(D:D,D174)</f>
        <v>2</v>
      </c>
    </row>
    <row r="175" spans="1:15" hidden="1" x14ac:dyDescent="0.25">
      <c r="A175" s="4">
        <v>93</v>
      </c>
      <c r="B175" s="4" t="s">
        <v>74</v>
      </c>
      <c r="C175" s="7">
        <v>45789</v>
      </c>
      <c r="D175" s="5" t="s">
        <v>81</v>
      </c>
      <c r="E175" s="4" t="e">
        <v>#N/A</v>
      </c>
      <c r="F175" s="4" t="s">
        <v>11</v>
      </c>
      <c r="G175" s="6">
        <v>0</v>
      </c>
      <c r="H175" s="4" t="s">
        <v>15</v>
      </c>
      <c r="I175" s="4" t="s">
        <v>82</v>
      </c>
      <c r="J175" s="6">
        <v>37.119999999999997</v>
      </c>
      <c r="K175" s="6" t="str">
        <f>I175&amp;J175</f>
        <v>293902X45937.12</v>
      </c>
      <c r="L175" s="4" t="str">
        <f>IF(COUNTIF(D:D,D175)&gt;1,"D","N")</f>
        <v>D</v>
      </c>
      <c r="M175" s="4">
        <f>COUNTIFS(D:D,D175,F:F,"UPDATED")</f>
        <v>0</v>
      </c>
      <c r="N175" s="4">
        <f>COUNTIFS(D:D,D175,F:F,"NOT UPDATED")</f>
        <v>2</v>
      </c>
      <c r="O175" s="4">
        <f>COUNTIF(D:D,D175)</f>
        <v>2</v>
      </c>
    </row>
    <row r="176" spans="1:15" hidden="1" x14ac:dyDescent="0.25">
      <c r="A176" s="4">
        <v>176</v>
      </c>
      <c r="B176" s="4" t="s">
        <v>78</v>
      </c>
      <c r="C176" s="7">
        <v>45798</v>
      </c>
      <c r="D176" s="5" t="s">
        <v>83</v>
      </c>
      <c r="E176" s="4" t="e">
        <v>#N/A</v>
      </c>
      <c r="F176" s="4" t="s">
        <v>11</v>
      </c>
      <c r="G176" s="6">
        <v>0</v>
      </c>
      <c r="H176" s="4" t="s">
        <v>15</v>
      </c>
      <c r="I176" s="4" t="s">
        <v>84</v>
      </c>
      <c r="J176" s="6">
        <v>37.950000000000003</v>
      </c>
      <c r="K176" s="6" t="str">
        <f>I176&amp;J176</f>
        <v>OC235240X1669 241210ABHZ0137.95</v>
      </c>
      <c r="L176" s="4" t="str">
        <f>IF(COUNTIF(D:D,D176)&gt;1,"D","N")</f>
        <v>D</v>
      </c>
      <c r="M176" s="4">
        <f>COUNTIFS(D:D,D176,F:F,"UPDATED")</f>
        <v>0</v>
      </c>
      <c r="N176" s="4">
        <f>COUNTIFS(D:D,D176,F:F,"NOT UPDATED")</f>
        <v>2</v>
      </c>
      <c r="O176" s="4">
        <f>COUNTIF(D:D,D176)</f>
        <v>2</v>
      </c>
    </row>
    <row r="177" spans="1:15" hidden="1" x14ac:dyDescent="0.25">
      <c r="A177" s="4">
        <v>177</v>
      </c>
      <c r="B177" s="4" t="s">
        <v>78</v>
      </c>
      <c r="C177" s="7">
        <v>45798</v>
      </c>
      <c r="D177" s="5" t="s">
        <v>83</v>
      </c>
      <c r="E177" s="4" t="e">
        <v>#N/A</v>
      </c>
      <c r="F177" s="4" t="s">
        <v>11</v>
      </c>
      <c r="G177" s="6">
        <v>0</v>
      </c>
      <c r="H177" s="4" t="s">
        <v>15</v>
      </c>
      <c r="I177" s="4" t="s">
        <v>184</v>
      </c>
      <c r="J177" s="6">
        <v>43.54</v>
      </c>
      <c r="K177" s="6" t="str">
        <f>I177&amp;J177</f>
        <v>OC235514X11322 241230AGSJ0143.54</v>
      </c>
      <c r="L177" s="4" t="str">
        <f>IF(COUNTIF(D:D,D177)&gt;1,"D","N")</f>
        <v>D</v>
      </c>
      <c r="M177" s="4">
        <f>COUNTIFS(D:D,D177,F:F,"UPDATED")</f>
        <v>0</v>
      </c>
      <c r="N177" s="4">
        <f>COUNTIFS(D:D,D177,F:F,"NOT UPDATED")</f>
        <v>2</v>
      </c>
      <c r="O177" s="4">
        <f>COUNTIF(D:D,D177)</f>
        <v>2</v>
      </c>
    </row>
    <row r="178" spans="1:15" hidden="1" x14ac:dyDescent="0.25">
      <c r="A178" s="4">
        <v>175</v>
      </c>
      <c r="B178" s="4" t="s">
        <v>78</v>
      </c>
      <c r="C178" s="7">
        <v>45798</v>
      </c>
      <c r="D178" s="5" t="s">
        <v>85</v>
      </c>
      <c r="E178" s="4" t="e">
        <v>#N/A</v>
      </c>
      <c r="F178" s="4" t="s">
        <v>11</v>
      </c>
      <c r="G178" s="6">
        <v>0</v>
      </c>
      <c r="H178" s="4" t="s">
        <v>15</v>
      </c>
      <c r="I178" s="4" t="s">
        <v>86</v>
      </c>
      <c r="J178" s="6">
        <v>19.34</v>
      </c>
      <c r="K178" s="6" t="str">
        <f>I178&amp;J178</f>
        <v>OC230177X33947 241100BLHD0119.34</v>
      </c>
      <c r="L178" s="4" t="str">
        <f>IF(COUNTIF(D:D,D178)&gt;1,"D","N")</f>
        <v>D</v>
      </c>
      <c r="M178" s="4">
        <f>COUNTIFS(D:D,D178,F:F,"UPDATED")</f>
        <v>0</v>
      </c>
      <c r="N178" s="4">
        <f>COUNTIFS(D:D,D178,F:F,"NOT UPDATED")</f>
        <v>2</v>
      </c>
      <c r="O178" s="4">
        <f>COUNTIF(D:D,D178)</f>
        <v>2</v>
      </c>
    </row>
    <row r="179" spans="1:15" hidden="1" x14ac:dyDescent="0.25">
      <c r="A179" s="4">
        <v>174</v>
      </c>
      <c r="B179" s="4" t="s">
        <v>78</v>
      </c>
      <c r="C179" s="7">
        <v>45798</v>
      </c>
      <c r="D179" s="5" t="s">
        <v>85</v>
      </c>
      <c r="E179" s="4" t="e">
        <v>#N/A</v>
      </c>
      <c r="F179" s="4" t="s">
        <v>11</v>
      </c>
      <c r="G179" s="6">
        <v>0</v>
      </c>
      <c r="H179" s="4" t="s">
        <v>15</v>
      </c>
      <c r="I179" s="4" t="s">
        <v>185</v>
      </c>
      <c r="J179" s="6">
        <v>43.54</v>
      </c>
      <c r="K179" s="6" t="str">
        <f>I179&amp;J179</f>
        <v>OC227887X33947 2410700YXK0143.54</v>
      </c>
      <c r="L179" s="4" t="str">
        <f>IF(COUNTIF(D:D,D179)&gt;1,"D","N")</f>
        <v>D</v>
      </c>
      <c r="M179" s="4">
        <f>COUNTIFS(D:D,D179,F:F,"UPDATED")</f>
        <v>0</v>
      </c>
      <c r="N179" s="4">
        <f>COUNTIFS(D:D,D179,F:F,"NOT UPDATED")</f>
        <v>2</v>
      </c>
      <c r="O179" s="4">
        <f>COUNTIF(D:D,D179)</f>
        <v>2</v>
      </c>
    </row>
    <row r="180" spans="1:15" x14ac:dyDescent="0.25">
      <c r="A180" s="4">
        <v>313</v>
      </c>
      <c r="B180" s="4" t="s">
        <v>27</v>
      </c>
      <c r="D180" s="5" t="s">
        <v>92</v>
      </c>
      <c r="E180" s="4" t="e">
        <v>#N/A</v>
      </c>
      <c r="F180" s="4" t="s">
        <v>11</v>
      </c>
      <c r="G180" s="6">
        <v>1040.0899999999999</v>
      </c>
      <c r="H180" s="4" t="s">
        <v>15</v>
      </c>
      <c r="I180" s="4" t="s">
        <v>51</v>
      </c>
      <c r="J180" s="6">
        <v>8.7200000000000006</v>
      </c>
      <c r="K180" s="6" t="str">
        <f>I180&amp;J180</f>
        <v>E6PDKVH2Y0000-OC393190X6669-2025-03-148.72</v>
      </c>
      <c r="L180" s="4" t="str">
        <f>IF(COUNTIF(D:D,D180)&gt;1,"D","N")</f>
        <v>D</v>
      </c>
      <c r="M180" s="4">
        <f>COUNTIFS(D:D,D180,F:F,"UPDATED")</f>
        <v>0</v>
      </c>
      <c r="N180" s="4">
        <f>COUNTIFS(D:D,D180,F:F,"NOT UPDATED")</f>
        <v>2</v>
      </c>
      <c r="O180" s="4">
        <f>COUNTIF(D:D,D180)</f>
        <v>2</v>
      </c>
    </row>
    <row r="181" spans="1:15" x14ac:dyDescent="0.25">
      <c r="A181" s="4">
        <v>164</v>
      </c>
      <c r="B181" s="4" t="s">
        <v>27</v>
      </c>
      <c r="C181" s="7">
        <v>45797</v>
      </c>
      <c r="D181" s="5">
        <v>825135000323746</v>
      </c>
      <c r="E181" s="4">
        <v>825135000323746</v>
      </c>
      <c r="F181" s="4" t="s">
        <v>339</v>
      </c>
      <c r="G181" s="6">
        <v>1040.0899999999999</v>
      </c>
      <c r="H181" s="4" t="s">
        <v>29</v>
      </c>
      <c r="I181" s="4" t="s">
        <v>51</v>
      </c>
      <c r="J181" s="6">
        <v>-8.7200000000000006</v>
      </c>
      <c r="K181" s="6" t="str">
        <f>I181&amp;J181</f>
        <v>E6PDKVH2Y0000-OC393190X6669-2025-03-14-8.72</v>
      </c>
      <c r="L181" s="4" t="str">
        <f>IF(COUNTIF(D:D,D181)&gt;1,"D","N")</f>
        <v>D</v>
      </c>
      <c r="M181" s="4">
        <f>COUNTIFS(D:D,D181,F:F,"UPDATED")</f>
        <v>2</v>
      </c>
      <c r="N181" s="4">
        <f>COUNTIFS(D:D,D181,F:F,"NOT UPDATED")</f>
        <v>0</v>
      </c>
      <c r="O181" s="4">
        <f>COUNTIF(D:D,D181)</f>
        <v>2</v>
      </c>
    </row>
    <row r="182" spans="1:15" x14ac:dyDescent="0.25">
      <c r="A182" s="4">
        <v>314</v>
      </c>
      <c r="B182" s="4" t="s">
        <v>27</v>
      </c>
      <c r="D182" s="5" t="s">
        <v>92</v>
      </c>
      <c r="E182" s="4" t="e">
        <v>#N/A</v>
      </c>
      <c r="F182" s="4" t="s">
        <v>11</v>
      </c>
      <c r="G182" s="6">
        <v>1040.0899999999999</v>
      </c>
      <c r="H182" s="4" t="s">
        <v>29</v>
      </c>
      <c r="I182" s="4" t="s">
        <v>51</v>
      </c>
      <c r="J182" s="6">
        <v>-8.7200000000000006</v>
      </c>
      <c r="K182" s="6" t="str">
        <f>I182&amp;J182</f>
        <v>E6PDKVH2Y0000-OC393190X6669-2025-03-14-8.72</v>
      </c>
      <c r="L182" s="4" t="str">
        <f>IF(COUNTIF(D:D,D182)&gt;1,"D","N")</f>
        <v>D</v>
      </c>
      <c r="M182" s="4">
        <f>COUNTIFS(D:D,D182,F:F,"UPDATED")</f>
        <v>0</v>
      </c>
      <c r="N182" s="4">
        <f>COUNTIFS(D:D,D182,F:F,"NOT UPDATED")</f>
        <v>2</v>
      </c>
      <c r="O182" s="4">
        <f>COUNTIF(D:D,D182)</f>
        <v>2</v>
      </c>
    </row>
    <row r="183" spans="1:15" x14ac:dyDescent="0.25">
      <c r="A183" s="4">
        <v>157</v>
      </c>
      <c r="B183" s="4" t="s">
        <v>27</v>
      </c>
      <c r="C183" s="7">
        <v>45796</v>
      </c>
      <c r="D183" s="5">
        <v>892513301009004</v>
      </c>
      <c r="E183" s="4" t="e">
        <v>#N/A</v>
      </c>
      <c r="F183" s="4" t="s">
        <v>11</v>
      </c>
      <c r="G183" s="6">
        <v>27.86</v>
      </c>
      <c r="H183" s="4" t="s">
        <v>15</v>
      </c>
      <c r="I183" s="4" t="s">
        <v>69</v>
      </c>
      <c r="J183" s="6">
        <v>-9.7100000000000009</v>
      </c>
      <c r="K183" s="6" t="str">
        <f>I183&amp;J183</f>
        <v>EHY2MCS7C0000-OC388305X47056-2025-03-06-9.71</v>
      </c>
      <c r="L183" s="4" t="str">
        <f>IF(COUNTIF(D:D,D183)&gt;1,"D","N")</f>
        <v>N</v>
      </c>
      <c r="M183" s="4">
        <f>COUNTIFS(D:D,D183,F:F,"UPDATED")</f>
        <v>0</v>
      </c>
      <c r="N183" s="4">
        <f>COUNTIFS(D:D,D183,F:F,"NOT UPDATED")</f>
        <v>1</v>
      </c>
      <c r="O183" s="4">
        <f>COUNTIF(D:D,D183)</f>
        <v>1</v>
      </c>
    </row>
    <row r="184" spans="1:15" x14ac:dyDescent="0.25">
      <c r="A184" s="4">
        <v>323</v>
      </c>
      <c r="B184" s="4" t="s">
        <v>27</v>
      </c>
      <c r="D184" s="5" t="s">
        <v>93</v>
      </c>
      <c r="E184" s="4" t="e">
        <v>#N/A</v>
      </c>
      <c r="F184" s="4" t="s">
        <v>11</v>
      </c>
      <c r="G184" s="6">
        <v>27.86</v>
      </c>
      <c r="H184" s="4" t="s">
        <v>15</v>
      </c>
      <c r="I184" s="4" t="s">
        <v>69</v>
      </c>
      <c r="J184" s="6">
        <v>-9.7100000000000009</v>
      </c>
      <c r="K184" s="6" t="str">
        <f>I184&amp;J184</f>
        <v>EHY2MCS7C0000-OC388305X47056-2025-03-06-9.71</v>
      </c>
      <c r="L184" s="4" t="str">
        <f>IF(COUNTIF(D:D,D184)&gt;1,"D","N")</f>
        <v>N</v>
      </c>
      <c r="M184" s="4">
        <f>COUNTIFS(D:D,D184,F:F,"UPDATED")</f>
        <v>0</v>
      </c>
      <c r="N184" s="4">
        <f>COUNTIFS(D:D,D184,F:F,"NOT UPDATED")</f>
        <v>1</v>
      </c>
      <c r="O184" s="4">
        <f>COUNTIF(D:D,D184)</f>
        <v>1</v>
      </c>
    </row>
    <row r="185" spans="1:15" x14ac:dyDescent="0.25">
      <c r="A185" s="4">
        <v>162</v>
      </c>
      <c r="B185" s="4" t="s">
        <v>10</v>
      </c>
      <c r="C185" s="7">
        <v>45796</v>
      </c>
      <c r="D185" s="5">
        <v>800494314</v>
      </c>
      <c r="E185" s="4" t="e">
        <v>#N/A</v>
      </c>
      <c r="F185" s="4" t="s">
        <v>11</v>
      </c>
      <c r="G185" s="6">
        <v>46816.959999999999</v>
      </c>
      <c r="H185" s="4" t="s">
        <v>12</v>
      </c>
      <c r="I185" s="4" t="s">
        <v>13</v>
      </c>
      <c r="J185" s="6">
        <v>-11.51</v>
      </c>
      <c r="K185" s="6" t="str">
        <f>I185&amp;J185</f>
        <v>OC402927X26592-11.51</v>
      </c>
      <c r="L185" s="4" t="str">
        <f>IF(COUNTIF(D:D,D185)&gt;1,"D","N")</f>
        <v>D</v>
      </c>
      <c r="M185" s="4">
        <f>COUNTIFS(D:D,D185,F:F,"UPDATED")</f>
        <v>0</v>
      </c>
      <c r="N185" s="4">
        <f>COUNTIFS(D:D,D185,F:F,"NOT UPDATED")</f>
        <v>2</v>
      </c>
      <c r="O185" s="4">
        <f>COUNTIF(D:D,D185)</f>
        <v>2</v>
      </c>
    </row>
    <row r="186" spans="1:15" hidden="1" x14ac:dyDescent="0.25">
      <c r="A186" s="4">
        <v>307</v>
      </c>
      <c r="B186" s="4" t="s">
        <v>87</v>
      </c>
      <c r="D186" s="5" t="s">
        <v>186</v>
      </c>
      <c r="E186" s="4" t="e">
        <v>#N/A</v>
      </c>
      <c r="F186" s="4" t="s">
        <v>11</v>
      </c>
      <c r="G186" s="6">
        <v>76836.63</v>
      </c>
      <c r="H186" s="4" t="s">
        <v>15</v>
      </c>
      <c r="I186" s="4" t="s">
        <v>187</v>
      </c>
      <c r="J186" s="6">
        <v>25.54</v>
      </c>
      <c r="K186" s="6" t="str">
        <f>I186&amp;J186</f>
        <v>OC367471X33014   9825090351057 25.54</v>
      </c>
      <c r="L186" s="4" t="str">
        <f>IF(COUNTIF(D:D,D186)&gt;1,"D","N")</f>
        <v>D</v>
      </c>
      <c r="M186" s="4">
        <f>COUNTIFS(D:D,D186,F:F,"UPDATED")</f>
        <v>0</v>
      </c>
      <c r="N186" s="4">
        <f>COUNTIFS(D:D,D186,F:F,"NOT UPDATED")</f>
        <v>2</v>
      </c>
      <c r="O186" s="4">
        <f>COUNTIF(D:D,D186)</f>
        <v>2</v>
      </c>
    </row>
    <row r="187" spans="1:15" hidden="1" x14ac:dyDescent="0.25">
      <c r="A187" s="4">
        <v>308</v>
      </c>
      <c r="B187" s="4" t="s">
        <v>87</v>
      </c>
      <c r="D187" s="5" t="s">
        <v>186</v>
      </c>
      <c r="E187" s="4" t="e">
        <v>#N/A</v>
      </c>
      <c r="F187" s="4" t="s">
        <v>11</v>
      </c>
      <c r="G187" s="6">
        <v>76836.63</v>
      </c>
      <c r="H187" s="4" t="s">
        <v>15</v>
      </c>
      <c r="I187" s="4" t="s">
        <v>188</v>
      </c>
      <c r="J187" s="6">
        <v>103.85</v>
      </c>
      <c r="K187" s="6" t="str">
        <f>I187&amp;J187</f>
        <v>OC391596X15  9825092351002103.85</v>
      </c>
      <c r="L187" s="4" t="str">
        <f>IF(COUNTIF(D:D,D187)&gt;1,"D","N")</f>
        <v>D</v>
      </c>
      <c r="M187" s="4">
        <f>COUNTIFS(D:D,D187,F:F,"UPDATED")</f>
        <v>0</v>
      </c>
      <c r="N187" s="4">
        <f>COUNTIFS(D:D,D187,F:F,"NOT UPDATED")</f>
        <v>2</v>
      </c>
      <c r="O187" s="4">
        <f>COUNTIF(D:D,D187)</f>
        <v>2</v>
      </c>
    </row>
    <row r="188" spans="1:15" x14ac:dyDescent="0.25">
      <c r="A188" s="4">
        <v>328</v>
      </c>
      <c r="B188" s="4" t="s">
        <v>87</v>
      </c>
      <c r="D188" s="5" t="s">
        <v>88</v>
      </c>
      <c r="E188" s="4" t="e">
        <v>#N/A</v>
      </c>
      <c r="F188" s="4" t="s">
        <v>11</v>
      </c>
      <c r="G188" s="6" t="s">
        <v>89</v>
      </c>
      <c r="H188" s="4" t="s">
        <v>12</v>
      </c>
      <c r="I188" s="4" t="s">
        <v>13</v>
      </c>
      <c r="J188" s="6">
        <v>-11.51</v>
      </c>
      <c r="K188" s="6" t="str">
        <f>I188&amp;J188</f>
        <v>OC402927X26592-11.51</v>
      </c>
      <c r="L188" s="4" t="str">
        <f>IF(COUNTIF(D:D,D188)&gt;1,"D","N")</f>
        <v>D</v>
      </c>
      <c r="M188" s="4">
        <f>COUNTIFS(D:D,D188,F:F,"UPDATED")</f>
        <v>0</v>
      </c>
      <c r="N188" s="4">
        <f>COUNTIFS(D:D,D188,F:F,"NOT UPDATED")</f>
        <v>2</v>
      </c>
      <c r="O188" s="4">
        <f>COUNTIF(D:D,D188)</f>
        <v>2</v>
      </c>
    </row>
    <row r="189" spans="1:15" x14ac:dyDescent="0.25">
      <c r="A189" s="4">
        <v>161</v>
      </c>
      <c r="B189" s="4" t="s">
        <v>10</v>
      </c>
      <c r="C189" s="7">
        <v>45796</v>
      </c>
      <c r="D189" s="5">
        <v>800494314</v>
      </c>
      <c r="E189" s="4" t="e">
        <v>#N/A</v>
      </c>
      <c r="F189" s="4" t="s">
        <v>11</v>
      </c>
      <c r="G189" s="6">
        <v>46816.959999999999</v>
      </c>
      <c r="H189" s="4" t="s">
        <v>12</v>
      </c>
      <c r="I189" s="4" t="s">
        <v>14</v>
      </c>
      <c r="J189" s="6">
        <v>-6.33</v>
      </c>
      <c r="K189" s="6" t="str">
        <f>I189&amp;J189</f>
        <v>OC409472X50299-6.33</v>
      </c>
      <c r="L189" s="4" t="str">
        <f>IF(COUNTIF(D:D,D189)&gt;1,"D","N")</f>
        <v>D</v>
      </c>
      <c r="M189" s="4">
        <f>COUNTIFS(D:D,D189,F:F,"UPDATED")</f>
        <v>0</v>
      </c>
      <c r="N189" s="4">
        <f>COUNTIFS(D:D,D189,F:F,"NOT UPDATED")</f>
        <v>2</v>
      </c>
      <c r="O189" s="4">
        <f>COUNTIF(D:D,D189)</f>
        <v>2</v>
      </c>
    </row>
    <row r="190" spans="1:15" x14ac:dyDescent="0.25">
      <c r="A190" s="4">
        <v>327</v>
      </c>
      <c r="B190" s="4" t="s">
        <v>87</v>
      </c>
      <c r="D190" s="5" t="s">
        <v>88</v>
      </c>
      <c r="E190" s="4" t="e">
        <v>#N/A</v>
      </c>
      <c r="F190" s="4" t="s">
        <v>11</v>
      </c>
      <c r="G190" s="6" t="s">
        <v>89</v>
      </c>
      <c r="H190" s="4" t="s">
        <v>12</v>
      </c>
      <c r="I190" s="4" t="s">
        <v>14</v>
      </c>
      <c r="J190" s="6">
        <v>-6.33</v>
      </c>
      <c r="K190" s="6" t="str">
        <f>I190&amp;J190</f>
        <v>OC409472X50299-6.33</v>
      </c>
      <c r="L190" s="4" t="str">
        <f>IF(COUNTIF(D:D,D190)&gt;1,"D","N")</f>
        <v>D</v>
      </c>
      <c r="M190" s="4">
        <f>COUNTIFS(D:D,D190,F:F,"UPDATED")</f>
        <v>0</v>
      </c>
      <c r="N190" s="4">
        <f>COUNTIFS(D:D,D190,F:F,"NOT UPDATED")</f>
        <v>2</v>
      </c>
      <c r="O190" s="4">
        <f>COUNTIF(D:D,D190)</f>
        <v>2</v>
      </c>
    </row>
    <row r="191" spans="1:15" x14ac:dyDescent="0.25">
      <c r="A191" s="4">
        <v>150</v>
      </c>
      <c r="B191" s="4" t="s">
        <v>20</v>
      </c>
      <c r="C191" s="7">
        <v>45794</v>
      </c>
      <c r="D191" s="5">
        <v>159245054250518</v>
      </c>
      <c r="E191" s="4" t="e">
        <v>#N/A</v>
      </c>
      <c r="F191" s="4" t="s">
        <v>11</v>
      </c>
      <c r="G191" s="6">
        <v>1463.84</v>
      </c>
      <c r="H191" s="4" t="s">
        <v>15</v>
      </c>
      <c r="I191" s="4" t="s">
        <v>23</v>
      </c>
      <c r="J191" s="6">
        <v>25.31</v>
      </c>
      <c r="K191" s="6" t="str">
        <f>I191&amp;J191</f>
        <v>POC233854X19134/82024117001913825.31</v>
      </c>
      <c r="L191" s="4" t="str">
        <f>IF(COUNTIF(D:D,D191)&gt;1,"D","N")</f>
        <v>D</v>
      </c>
      <c r="M191" s="4">
        <f>COUNTIFS(D:D,D191,F:F,"UPDATED")</f>
        <v>0</v>
      </c>
      <c r="N191" s="4">
        <f>COUNTIFS(D:D,D191,F:F,"NOT UPDATED")</f>
        <v>2</v>
      </c>
      <c r="O191" s="4">
        <f>COUNTIF(D:D,D191)</f>
        <v>2</v>
      </c>
    </row>
    <row r="192" spans="1:15" hidden="1" x14ac:dyDescent="0.25">
      <c r="A192" s="4">
        <v>24</v>
      </c>
      <c r="B192" s="4" t="s">
        <v>94</v>
      </c>
      <c r="C192" s="7">
        <v>45782</v>
      </c>
      <c r="D192" s="5" t="s">
        <v>95</v>
      </c>
      <c r="E192" s="4" t="s">
        <v>95</v>
      </c>
      <c r="F192" s="4" t="s">
        <v>339</v>
      </c>
      <c r="G192" s="6">
        <v>12257.25</v>
      </c>
      <c r="H192" s="4" t="s">
        <v>15</v>
      </c>
      <c r="I192" s="4" t="s">
        <v>96</v>
      </c>
      <c r="J192" s="6">
        <v>77.28</v>
      </c>
      <c r="K192" s="6" t="str">
        <f>I192&amp;J192</f>
        <v>02022320503990D0X00.OC44780X352077.28</v>
      </c>
      <c r="L192" s="4" t="str">
        <f>IF(COUNTIF(D:D,D192)&gt;1,"D","N")</f>
        <v>D</v>
      </c>
      <c r="M192" s="4">
        <f>COUNTIFS(D:D,D192,F:F,"UPDATED")</f>
        <v>4</v>
      </c>
      <c r="N192" s="4">
        <f>COUNTIFS(D:D,D192,F:F,"NOT UPDATED")</f>
        <v>0</v>
      </c>
      <c r="O192" s="4">
        <f>COUNTIF(D:D,D192)</f>
        <v>4</v>
      </c>
    </row>
    <row r="193" spans="1:15" x14ac:dyDescent="0.25">
      <c r="A193" s="4">
        <v>329</v>
      </c>
      <c r="B193" s="4" t="s">
        <v>71</v>
      </c>
      <c r="D193" s="5" t="s">
        <v>72</v>
      </c>
      <c r="E193" s="4" t="e">
        <v>#N/A</v>
      </c>
      <c r="F193" s="4" t="s">
        <v>11</v>
      </c>
      <c r="G193" s="6">
        <v>1463.84</v>
      </c>
      <c r="H193" s="4" t="s">
        <v>15</v>
      </c>
      <c r="I193" s="4" t="s">
        <v>23</v>
      </c>
      <c r="J193" s="6">
        <v>25.31</v>
      </c>
      <c r="K193" s="6" t="str">
        <f>I193&amp;J193</f>
        <v>POC233854X19134/82024117001913825.31</v>
      </c>
      <c r="L193" s="4" t="str">
        <f>IF(COUNTIF(D:D,D193)&gt;1,"D","N")</f>
        <v>D</v>
      </c>
      <c r="M193" s="4">
        <f>COUNTIFS(D:D,D193,F:F,"UPDATED")</f>
        <v>0</v>
      </c>
      <c r="N193" s="4">
        <f>COUNTIFS(D:D,D193,F:F,"NOT UPDATED")</f>
        <v>2</v>
      </c>
      <c r="O193" s="4">
        <f>COUNTIF(D:D,D193)</f>
        <v>2</v>
      </c>
    </row>
    <row r="194" spans="1:15" hidden="1" x14ac:dyDescent="0.25">
      <c r="A194" s="4">
        <v>26</v>
      </c>
      <c r="B194" s="4" t="s">
        <v>94</v>
      </c>
      <c r="C194" s="7">
        <v>45782</v>
      </c>
      <c r="D194" s="5" t="s">
        <v>95</v>
      </c>
      <c r="E194" s="4" t="s">
        <v>95</v>
      </c>
      <c r="F194" s="4" t="s">
        <v>339</v>
      </c>
      <c r="G194" s="6">
        <v>12257.25</v>
      </c>
      <c r="H194" s="4" t="s">
        <v>29</v>
      </c>
      <c r="I194" s="4" t="s">
        <v>189</v>
      </c>
      <c r="J194" s="6">
        <v>-81.39</v>
      </c>
      <c r="K194" s="6" t="str">
        <f>I194&amp;J194</f>
        <v>02023160503220H0X00.OC112856X20545-81.39</v>
      </c>
      <c r="L194" s="4" t="str">
        <f>IF(COUNTIF(D:D,D194)&gt;1,"D","N")</f>
        <v>D</v>
      </c>
      <c r="M194" s="4">
        <f>COUNTIFS(D:D,D194,F:F,"UPDATED")</f>
        <v>4</v>
      </c>
      <c r="N194" s="4">
        <f>COUNTIFS(D:D,D194,F:F,"NOT UPDATED")</f>
        <v>0</v>
      </c>
      <c r="O194" s="4">
        <f>COUNTIF(D:D,D194)</f>
        <v>4</v>
      </c>
    </row>
    <row r="195" spans="1:15" hidden="1" x14ac:dyDescent="0.25">
      <c r="A195" s="4">
        <v>48</v>
      </c>
      <c r="B195" s="4" t="s">
        <v>94</v>
      </c>
      <c r="C195" s="7">
        <v>45783</v>
      </c>
      <c r="D195" s="5" t="s">
        <v>190</v>
      </c>
      <c r="E195" s="4" t="s">
        <v>190</v>
      </c>
      <c r="F195" s="4" t="s">
        <v>339</v>
      </c>
      <c r="G195" s="6" t="s">
        <v>191</v>
      </c>
      <c r="H195" s="4" t="s">
        <v>29</v>
      </c>
      <c r="I195" s="4" t="s">
        <v>192</v>
      </c>
      <c r="J195" s="6">
        <v>-254.11</v>
      </c>
      <c r="K195" s="6" t="str">
        <f>I195&amp;J195</f>
        <v>020242075067J800X00.OC274875X31015-254.11</v>
      </c>
      <c r="L195" s="4" t="str">
        <f>IF(COUNTIF(D:D,D195)&gt;1,"D","N")</f>
        <v>N</v>
      </c>
      <c r="M195" s="4">
        <f>COUNTIFS(D:D,D195,F:F,"UPDATED")</f>
        <v>1</v>
      </c>
      <c r="N195" s="4">
        <f>COUNTIFS(D:D,D195,F:F,"NOT UPDATED")</f>
        <v>0</v>
      </c>
      <c r="O195" s="4">
        <f>COUNTIF(D:D,D195)</f>
        <v>1</v>
      </c>
    </row>
    <row r="196" spans="1:15" hidden="1" x14ac:dyDescent="0.25">
      <c r="A196" s="4">
        <v>10</v>
      </c>
      <c r="B196" s="4" t="s">
        <v>94</v>
      </c>
      <c r="C196" s="7">
        <v>45779</v>
      </c>
      <c r="D196" s="5" t="s">
        <v>193</v>
      </c>
      <c r="E196" s="4" t="s">
        <v>193</v>
      </c>
      <c r="F196" s="4" t="s">
        <v>339</v>
      </c>
      <c r="G196" s="6">
        <v>0</v>
      </c>
      <c r="H196" s="4" t="s">
        <v>194</v>
      </c>
      <c r="I196" s="4" t="s">
        <v>195</v>
      </c>
      <c r="J196" s="6">
        <v>-41.53</v>
      </c>
      <c r="K196" s="6" t="str">
        <f>I196&amp;J196</f>
        <v>02024270502Z1340X00.OC306520X31015-41.53</v>
      </c>
      <c r="L196" s="4" t="str">
        <f>IF(COUNTIF(D:D,D196)&gt;1,"D","N")</f>
        <v>N</v>
      </c>
      <c r="M196" s="4">
        <f>COUNTIFS(D:D,D196,F:F,"UPDATED")</f>
        <v>1</v>
      </c>
      <c r="N196" s="4">
        <f>COUNTIFS(D:D,D196,F:F,"NOT UPDATED")</f>
        <v>0</v>
      </c>
      <c r="O196" s="4">
        <f>COUNTIF(D:D,D196)</f>
        <v>1</v>
      </c>
    </row>
    <row r="197" spans="1:15" hidden="1" x14ac:dyDescent="0.25">
      <c r="A197" s="4">
        <v>342</v>
      </c>
      <c r="B197" s="4" t="s">
        <v>94</v>
      </c>
      <c r="C197" s="7">
        <v>45784</v>
      </c>
      <c r="D197" s="5" t="s">
        <v>196</v>
      </c>
      <c r="E197" s="4" t="e">
        <v>#N/A</v>
      </c>
      <c r="F197" s="4" t="s">
        <v>11</v>
      </c>
      <c r="G197" s="6">
        <v>14299.57</v>
      </c>
      <c r="H197" s="4" t="s">
        <v>15</v>
      </c>
      <c r="I197" s="4" t="s">
        <v>197</v>
      </c>
      <c r="J197" s="6">
        <v>88.32</v>
      </c>
      <c r="K197" s="6" t="str">
        <f>I197&amp;J197</f>
        <v>020230315057K540X.OC70393X1276188.32</v>
      </c>
      <c r="L197" s="4" t="str">
        <f>IF(COUNTIF(D:D,D197)&gt;1,"D","N")</f>
        <v>D</v>
      </c>
      <c r="M197" s="4">
        <f>COUNTIFS(D:D,D197,F:F,"UPDATED")</f>
        <v>0</v>
      </c>
      <c r="N197" s="4">
        <f>COUNTIFS(D:D,D197,F:F,"NOT UPDATED")</f>
        <v>5</v>
      </c>
      <c r="O197" s="4">
        <f>COUNTIF(D:D,D197)</f>
        <v>5</v>
      </c>
    </row>
    <row r="198" spans="1:15" hidden="1" x14ac:dyDescent="0.25">
      <c r="A198" s="4">
        <v>341</v>
      </c>
      <c r="B198" s="4" t="s">
        <v>94</v>
      </c>
      <c r="C198" s="7">
        <v>45784</v>
      </c>
      <c r="D198" s="5" t="s">
        <v>196</v>
      </c>
      <c r="E198" s="4" t="e">
        <v>#N/A</v>
      </c>
      <c r="F198" s="4" t="s">
        <v>11</v>
      </c>
      <c r="G198" s="6">
        <v>14299.57</v>
      </c>
      <c r="H198" s="4" t="s">
        <v>15</v>
      </c>
      <c r="I198" s="4" t="s">
        <v>198</v>
      </c>
      <c r="J198" s="6">
        <v>70.400000000000006</v>
      </c>
      <c r="K198" s="6" t="str">
        <f>I198&amp;J198</f>
        <v>020230655041P070X.OC80647X1552270.4</v>
      </c>
      <c r="L198" s="4" t="str">
        <f>IF(COUNTIF(D:D,D198)&gt;1,"D","N")</f>
        <v>D</v>
      </c>
      <c r="M198" s="4">
        <f>COUNTIFS(D:D,D198,F:F,"UPDATED")</f>
        <v>0</v>
      </c>
      <c r="N198" s="4">
        <f>COUNTIFS(D:D,D198,F:F,"NOT UPDATED")</f>
        <v>5</v>
      </c>
      <c r="O198" s="4">
        <f>COUNTIF(D:D,D198)</f>
        <v>5</v>
      </c>
    </row>
    <row r="199" spans="1:15" hidden="1" x14ac:dyDescent="0.25">
      <c r="A199" s="4">
        <v>343</v>
      </c>
      <c r="B199" s="4" t="s">
        <v>94</v>
      </c>
      <c r="C199" s="7">
        <v>45784</v>
      </c>
      <c r="D199" s="5" t="s">
        <v>196</v>
      </c>
      <c r="E199" s="4" t="e">
        <v>#N/A</v>
      </c>
      <c r="F199" s="4" t="s">
        <v>11</v>
      </c>
      <c r="G199" s="6">
        <v>14299.57</v>
      </c>
      <c r="H199" s="4" t="s">
        <v>15</v>
      </c>
      <c r="I199" s="4" t="s">
        <v>199</v>
      </c>
      <c r="J199" s="6">
        <v>308.77</v>
      </c>
      <c r="K199" s="6" t="str">
        <f>I199&amp;J199</f>
        <v>02023227504L0080X.OC136682X516308.77</v>
      </c>
      <c r="L199" s="4" t="str">
        <f>IF(COUNTIF(D:D,D199)&gt;1,"D","N")</f>
        <v>D</v>
      </c>
      <c r="M199" s="4">
        <f>COUNTIFS(D:D,D199,F:F,"UPDATED")</f>
        <v>0</v>
      </c>
      <c r="N199" s="4">
        <f>COUNTIFS(D:D,D199,F:F,"NOT UPDATED")</f>
        <v>5</v>
      </c>
      <c r="O199" s="4">
        <f>COUNTIF(D:D,D199)</f>
        <v>5</v>
      </c>
    </row>
    <row r="200" spans="1:15" hidden="1" x14ac:dyDescent="0.25">
      <c r="A200" s="4">
        <v>340</v>
      </c>
      <c r="B200" s="4" t="s">
        <v>94</v>
      </c>
      <c r="C200" s="7">
        <v>45784</v>
      </c>
      <c r="D200" s="5" t="s">
        <v>196</v>
      </c>
      <c r="E200" s="4" t="e">
        <v>#N/A</v>
      </c>
      <c r="F200" s="4" t="s">
        <v>11</v>
      </c>
      <c r="G200" s="6">
        <v>14299.57</v>
      </c>
      <c r="H200" s="4" t="s">
        <v>15</v>
      </c>
      <c r="I200" s="4" t="s">
        <v>200</v>
      </c>
      <c r="J200" s="6">
        <v>106.02</v>
      </c>
      <c r="K200" s="6" t="str">
        <f>I200&amp;J200</f>
        <v>02024207502583B0X.OC244937X31099106.02</v>
      </c>
      <c r="L200" s="4" t="str">
        <f>IF(COUNTIF(D:D,D200)&gt;1,"D","N")</f>
        <v>D</v>
      </c>
      <c r="M200" s="4">
        <f>COUNTIFS(D:D,D200,F:F,"UPDATED")</f>
        <v>0</v>
      </c>
      <c r="N200" s="4">
        <f>COUNTIFS(D:D,D200,F:F,"NOT UPDATED")</f>
        <v>5</v>
      </c>
      <c r="O200" s="4">
        <f>COUNTIF(D:D,D200)</f>
        <v>5</v>
      </c>
    </row>
    <row r="201" spans="1:15" hidden="1" x14ac:dyDescent="0.25">
      <c r="A201" s="4">
        <v>339</v>
      </c>
      <c r="B201" s="4" t="s">
        <v>94</v>
      </c>
      <c r="C201" s="7">
        <v>45784</v>
      </c>
      <c r="D201" s="5" t="s">
        <v>196</v>
      </c>
      <c r="E201" s="4" t="e">
        <v>#N/A</v>
      </c>
      <c r="F201" s="4" t="s">
        <v>11</v>
      </c>
      <c r="G201" s="6">
        <v>14299.57</v>
      </c>
      <c r="H201" s="4" t="s">
        <v>15</v>
      </c>
      <c r="I201" s="4" t="s">
        <v>201</v>
      </c>
      <c r="J201" s="6">
        <v>253.04</v>
      </c>
      <c r="K201" s="6" t="str">
        <f>I201&amp;J201</f>
        <v>0202432650N94120X.OC334319X43148253.04</v>
      </c>
      <c r="L201" s="4" t="str">
        <f>IF(COUNTIF(D:D,D201)&gt;1,"D","N")</f>
        <v>D</v>
      </c>
      <c r="M201" s="4">
        <f>COUNTIFS(D:D,D201,F:F,"UPDATED")</f>
        <v>0</v>
      </c>
      <c r="N201" s="4">
        <f>COUNTIFS(D:D,D201,F:F,"NOT UPDATED")</f>
        <v>5</v>
      </c>
      <c r="O201" s="4">
        <f>COUNTIF(D:D,D201)</f>
        <v>5</v>
      </c>
    </row>
    <row r="202" spans="1:15" hidden="1" x14ac:dyDescent="0.25">
      <c r="A202" s="4">
        <v>63</v>
      </c>
      <c r="B202" s="4" t="s">
        <v>94</v>
      </c>
      <c r="C202" s="7">
        <v>45784</v>
      </c>
      <c r="D202" s="5" t="s">
        <v>202</v>
      </c>
      <c r="E202" s="4" t="e">
        <v>#N/A</v>
      </c>
      <c r="F202" s="4" t="s">
        <v>11</v>
      </c>
      <c r="G202" s="6">
        <v>11457.68</v>
      </c>
      <c r="H202" s="4" t="s">
        <v>15</v>
      </c>
      <c r="I202" s="4" t="s">
        <v>203</v>
      </c>
      <c r="J202" s="6">
        <v>165</v>
      </c>
      <c r="K202" s="6" t="str">
        <f>I202&amp;J202</f>
        <v>0202404350736S60X.OC201873X31545165</v>
      </c>
      <c r="L202" s="4" t="str">
        <f>IF(COUNTIF(D:D,D202)&gt;1,"D","N")</f>
        <v>D</v>
      </c>
      <c r="M202" s="4">
        <f>COUNTIFS(D:D,D202,F:F,"UPDATED")</f>
        <v>0</v>
      </c>
      <c r="N202" s="4">
        <f>COUNTIFS(D:D,D202,F:F,"NOT UPDATED")</f>
        <v>7</v>
      </c>
      <c r="O202" s="4">
        <f>COUNTIF(D:D,D202)</f>
        <v>7</v>
      </c>
    </row>
    <row r="203" spans="1:15" hidden="1" x14ac:dyDescent="0.25">
      <c r="A203" s="4">
        <v>64</v>
      </c>
      <c r="B203" s="4" t="s">
        <v>94</v>
      </c>
      <c r="C203" s="7">
        <v>45784</v>
      </c>
      <c r="D203" s="5" t="s">
        <v>202</v>
      </c>
      <c r="E203" s="4" t="e">
        <v>#N/A</v>
      </c>
      <c r="F203" s="4" t="s">
        <v>11</v>
      </c>
      <c r="G203" s="6">
        <v>11457.68</v>
      </c>
      <c r="H203" s="4" t="s">
        <v>15</v>
      </c>
      <c r="I203" s="4" t="s">
        <v>204</v>
      </c>
      <c r="J203" s="6">
        <v>1797.38</v>
      </c>
      <c r="K203" s="6" t="str">
        <f>I203&amp;J203</f>
        <v>02024247504350E0X.OC293756X142891797.38</v>
      </c>
      <c r="L203" s="4" t="str">
        <f>IF(COUNTIF(D:D,D203)&gt;1,"D","N")</f>
        <v>D</v>
      </c>
      <c r="M203" s="4">
        <f>COUNTIFS(D:D,D203,F:F,"UPDATED")</f>
        <v>0</v>
      </c>
      <c r="N203" s="4">
        <f>COUNTIFS(D:D,D203,F:F,"NOT UPDATED")</f>
        <v>7</v>
      </c>
      <c r="O203" s="4">
        <f>COUNTIF(D:D,D203)</f>
        <v>7</v>
      </c>
    </row>
    <row r="204" spans="1:15" hidden="1" x14ac:dyDescent="0.25">
      <c r="A204" s="4">
        <v>59</v>
      </c>
      <c r="B204" s="4" t="s">
        <v>94</v>
      </c>
      <c r="C204" s="7">
        <v>45784</v>
      </c>
      <c r="D204" s="5" t="s">
        <v>202</v>
      </c>
      <c r="E204" s="4" t="e">
        <v>#N/A</v>
      </c>
      <c r="F204" s="4" t="s">
        <v>11</v>
      </c>
      <c r="G204" s="6">
        <v>11457.68</v>
      </c>
      <c r="H204" s="4" t="s">
        <v>15</v>
      </c>
      <c r="I204" s="4" t="s">
        <v>205</v>
      </c>
      <c r="J204" s="6">
        <v>142.33000000000001</v>
      </c>
      <c r="K204" s="6" t="str">
        <f>I204&amp;J204</f>
        <v>02024277507811P0X.OC310254X18883142.33</v>
      </c>
      <c r="L204" s="4" t="str">
        <f>IF(COUNTIF(D:D,D204)&gt;1,"D","N")</f>
        <v>D</v>
      </c>
      <c r="M204" s="4">
        <f>COUNTIFS(D:D,D204,F:F,"UPDATED")</f>
        <v>0</v>
      </c>
      <c r="N204" s="4">
        <f>COUNTIFS(D:D,D204,F:F,"NOT UPDATED")</f>
        <v>7</v>
      </c>
      <c r="O204" s="4">
        <f>COUNTIF(D:D,D204)</f>
        <v>7</v>
      </c>
    </row>
    <row r="205" spans="1:15" hidden="1" x14ac:dyDescent="0.25">
      <c r="A205" s="4">
        <v>61</v>
      </c>
      <c r="B205" s="4" t="s">
        <v>94</v>
      </c>
      <c r="C205" s="7">
        <v>45784</v>
      </c>
      <c r="D205" s="5" t="s">
        <v>202</v>
      </c>
      <c r="E205" s="4" t="e">
        <v>#N/A</v>
      </c>
      <c r="F205" s="4" t="s">
        <v>11</v>
      </c>
      <c r="G205" s="6">
        <v>11457.68</v>
      </c>
      <c r="H205" s="4" t="s">
        <v>15</v>
      </c>
      <c r="I205" s="4" t="s">
        <v>206</v>
      </c>
      <c r="J205" s="6">
        <v>142.33000000000001</v>
      </c>
      <c r="K205" s="6" t="str">
        <f>I205&amp;J205</f>
        <v>0202428550400C30X.OC313879X18883142.33</v>
      </c>
      <c r="L205" s="4" t="str">
        <f>IF(COUNTIF(D:D,D205)&gt;1,"D","N")</f>
        <v>D</v>
      </c>
      <c r="M205" s="4">
        <f>COUNTIFS(D:D,D205,F:F,"UPDATED")</f>
        <v>0</v>
      </c>
      <c r="N205" s="4">
        <f>COUNTIFS(D:D,D205,F:F,"NOT UPDATED")</f>
        <v>7</v>
      </c>
      <c r="O205" s="4">
        <f>COUNTIF(D:D,D205)</f>
        <v>7</v>
      </c>
    </row>
    <row r="206" spans="1:15" hidden="1" x14ac:dyDescent="0.25">
      <c r="A206" s="4">
        <v>60</v>
      </c>
      <c r="B206" s="4" t="s">
        <v>94</v>
      </c>
      <c r="C206" s="7">
        <v>45784</v>
      </c>
      <c r="D206" s="5" t="s">
        <v>202</v>
      </c>
      <c r="E206" s="4" t="e">
        <v>#N/A</v>
      </c>
      <c r="F206" s="4" t="s">
        <v>11</v>
      </c>
      <c r="G206" s="6">
        <v>11457.68</v>
      </c>
      <c r="H206" s="4" t="s">
        <v>15</v>
      </c>
      <c r="I206" s="4" t="s">
        <v>207</v>
      </c>
      <c r="J206" s="6">
        <v>147.63999999999999</v>
      </c>
      <c r="K206" s="6" t="str">
        <f>I206&amp;J206</f>
        <v>0202428550996B80X.OC313944X18883147.64</v>
      </c>
      <c r="L206" s="4" t="str">
        <f>IF(COUNTIF(D:D,D206)&gt;1,"D","N")</f>
        <v>D</v>
      </c>
      <c r="M206" s="4">
        <f>COUNTIFS(D:D,D206,F:F,"UPDATED")</f>
        <v>0</v>
      </c>
      <c r="N206" s="4">
        <f>COUNTIFS(D:D,D206,F:F,"NOT UPDATED")</f>
        <v>7</v>
      </c>
      <c r="O206" s="4">
        <f>COUNTIF(D:D,D206)</f>
        <v>7</v>
      </c>
    </row>
    <row r="207" spans="1:15" hidden="1" x14ac:dyDescent="0.25">
      <c r="A207" s="4">
        <v>62</v>
      </c>
      <c r="B207" s="4" t="s">
        <v>94</v>
      </c>
      <c r="C207" s="7">
        <v>45784</v>
      </c>
      <c r="D207" s="5" t="s">
        <v>202</v>
      </c>
      <c r="E207" s="4" t="e">
        <v>#N/A</v>
      </c>
      <c r="F207" s="4" t="s">
        <v>11</v>
      </c>
      <c r="G207" s="6">
        <v>11457.68</v>
      </c>
      <c r="H207" s="4" t="s">
        <v>15</v>
      </c>
      <c r="I207" s="4" t="s">
        <v>208</v>
      </c>
      <c r="J207" s="6">
        <v>136.68</v>
      </c>
      <c r="K207" s="6" t="str">
        <f>I207&amp;J207</f>
        <v>02024302500S5250X.OC321967X18883136.68</v>
      </c>
      <c r="L207" s="4" t="str">
        <f>IF(COUNTIF(D:D,D207)&gt;1,"D","N")</f>
        <v>D</v>
      </c>
      <c r="M207" s="4">
        <f>COUNTIFS(D:D,D207,F:F,"UPDATED")</f>
        <v>0</v>
      </c>
      <c r="N207" s="4">
        <f>COUNTIFS(D:D,D207,F:F,"NOT UPDATED")</f>
        <v>7</v>
      </c>
      <c r="O207" s="4">
        <f>COUNTIF(D:D,D207)</f>
        <v>7</v>
      </c>
    </row>
    <row r="208" spans="1:15" hidden="1" x14ac:dyDescent="0.25">
      <c r="A208" s="4">
        <v>65</v>
      </c>
      <c r="B208" s="4" t="s">
        <v>94</v>
      </c>
      <c r="C208" s="7">
        <v>45784</v>
      </c>
      <c r="D208" s="5" t="s">
        <v>202</v>
      </c>
      <c r="E208" s="4" t="e">
        <v>#N/A</v>
      </c>
      <c r="F208" s="4" t="s">
        <v>11</v>
      </c>
      <c r="G208" s="6">
        <v>11457.68</v>
      </c>
      <c r="H208" s="4" t="s">
        <v>194</v>
      </c>
      <c r="I208" s="8" t="s">
        <v>209</v>
      </c>
      <c r="J208" s="6">
        <v>-5.88</v>
      </c>
      <c r="K208" s="6" t="str">
        <f>I208&amp;J208</f>
        <v>02025085503E7280X00.OC394740X42818-5.88</v>
      </c>
      <c r="L208" s="4" t="str">
        <f>IF(COUNTIF(D:D,D208)&gt;1,"D","N")</f>
        <v>D</v>
      </c>
      <c r="M208" s="4">
        <f>COUNTIFS(D:D,D208,F:F,"UPDATED")</f>
        <v>0</v>
      </c>
      <c r="N208" s="4">
        <f>COUNTIFS(D:D,D208,F:F,"NOT UPDATED")</f>
        <v>7</v>
      </c>
      <c r="O208" s="4">
        <f>COUNTIF(D:D,D208)</f>
        <v>7</v>
      </c>
    </row>
    <row r="209" spans="1:15" hidden="1" x14ac:dyDescent="0.25">
      <c r="A209" s="4">
        <v>344</v>
      </c>
      <c r="B209" s="4" t="s">
        <v>94</v>
      </c>
      <c r="C209" s="7">
        <v>45785</v>
      </c>
      <c r="D209" s="5" t="s">
        <v>210</v>
      </c>
      <c r="E209" s="4" t="e">
        <v>#N/A</v>
      </c>
      <c r="F209" s="4" t="s">
        <v>11</v>
      </c>
      <c r="G209" s="6">
        <v>0</v>
      </c>
      <c r="H209" s="4" t="s">
        <v>15</v>
      </c>
      <c r="I209" s="4" t="s">
        <v>211</v>
      </c>
      <c r="J209" s="6">
        <v>108.06</v>
      </c>
      <c r="K209" s="6" t="str">
        <f>I209&amp;J209</f>
        <v>0202303350354T90X.OC71204X12456108.06</v>
      </c>
      <c r="L209" s="4" t="str">
        <f>IF(COUNTIF(D:D,D209)&gt;1,"D","N")</f>
        <v>D</v>
      </c>
      <c r="M209" s="4">
        <f>COUNTIFS(D:D,D209,F:F,"UPDATED")</f>
        <v>0</v>
      </c>
      <c r="N209" s="4">
        <f>COUNTIFS(D:D,D209,F:F,"NOT UPDATED")</f>
        <v>5</v>
      </c>
      <c r="O209" s="4">
        <f>COUNTIF(D:D,D209)</f>
        <v>5</v>
      </c>
    </row>
    <row r="210" spans="1:15" hidden="1" x14ac:dyDescent="0.25">
      <c r="A210" s="4">
        <v>347</v>
      </c>
      <c r="B210" s="4" t="s">
        <v>94</v>
      </c>
      <c r="C210" s="7">
        <v>45785</v>
      </c>
      <c r="D210" s="5" t="s">
        <v>210</v>
      </c>
      <c r="E210" s="4" t="e">
        <v>#N/A</v>
      </c>
      <c r="F210" s="4" t="s">
        <v>11</v>
      </c>
      <c r="G210" s="6">
        <v>0</v>
      </c>
      <c r="H210" s="4" t="s">
        <v>15</v>
      </c>
      <c r="I210" s="4" t="s">
        <v>212</v>
      </c>
      <c r="J210" s="6">
        <v>308.77</v>
      </c>
      <c r="K210" s="6" t="str">
        <f>I210&amp;J210</f>
        <v>0202324050246C20X.OC142278X516308.77</v>
      </c>
      <c r="L210" s="4" t="str">
        <f>IF(COUNTIF(D:D,D210)&gt;1,"D","N")</f>
        <v>D</v>
      </c>
      <c r="M210" s="4">
        <f>COUNTIFS(D:D,D210,F:F,"UPDATED")</f>
        <v>0</v>
      </c>
      <c r="N210" s="4">
        <f>COUNTIFS(D:D,D210,F:F,"NOT UPDATED")</f>
        <v>5</v>
      </c>
      <c r="O210" s="4">
        <f>COUNTIF(D:D,D210)</f>
        <v>5</v>
      </c>
    </row>
    <row r="211" spans="1:15" hidden="1" x14ac:dyDescent="0.25">
      <c r="A211" s="4">
        <v>345</v>
      </c>
      <c r="B211" s="4" t="s">
        <v>94</v>
      </c>
      <c r="C211" s="7">
        <v>45785</v>
      </c>
      <c r="D211" s="5" t="s">
        <v>210</v>
      </c>
      <c r="E211" s="4" t="e">
        <v>#N/A</v>
      </c>
      <c r="F211" s="4" t="s">
        <v>11</v>
      </c>
      <c r="G211" s="6">
        <v>0</v>
      </c>
      <c r="H211" s="4" t="s">
        <v>15</v>
      </c>
      <c r="I211" s="4" t="s">
        <v>213</v>
      </c>
      <c r="J211" s="6">
        <v>308.77</v>
      </c>
      <c r="K211" s="6" t="str">
        <f>I211&amp;J211</f>
        <v>0202331050K95290X.OC167387X26134308.77</v>
      </c>
      <c r="L211" s="4" t="str">
        <f>IF(COUNTIF(D:D,D211)&gt;1,"D","N")</f>
        <v>D</v>
      </c>
      <c r="M211" s="4">
        <f>COUNTIFS(D:D,D211,F:F,"UPDATED")</f>
        <v>0</v>
      </c>
      <c r="N211" s="4">
        <f>COUNTIFS(D:D,D211,F:F,"NOT UPDATED")</f>
        <v>5</v>
      </c>
      <c r="O211" s="4">
        <f>COUNTIF(D:D,D211)</f>
        <v>5</v>
      </c>
    </row>
    <row r="212" spans="1:15" hidden="1" x14ac:dyDescent="0.25">
      <c r="A212" s="4">
        <v>346</v>
      </c>
      <c r="B212" s="4" t="s">
        <v>94</v>
      </c>
      <c r="C212" s="7">
        <v>45785</v>
      </c>
      <c r="D212" s="5" t="s">
        <v>210</v>
      </c>
      <c r="E212" s="4" t="e">
        <v>#N/A</v>
      </c>
      <c r="F212" s="4" t="s">
        <v>11</v>
      </c>
      <c r="G212" s="6">
        <v>0</v>
      </c>
      <c r="H212" s="4" t="s">
        <v>15</v>
      </c>
      <c r="I212" s="4" t="s">
        <v>214</v>
      </c>
      <c r="J212" s="6">
        <v>75.989999999999995</v>
      </c>
      <c r="K212" s="6" t="str">
        <f>I212&amp;J212</f>
        <v>0202423550Y34620X.OC288097X1764075.99</v>
      </c>
      <c r="L212" s="4" t="str">
        <f>IF(COUNTIF(D:D,D212)&gt;1,"D","N")</f>
        <v>D</v>
      </c>
      <c r="M212" s="4">
        <f>COUNTIFS(D:D,D212,F:F,"UPDATED")</f>
        <v>0</v>
      </c>
      <c r="N212" s="4">
        <f>COUNTIFS(D:D,D212,F:F,"NOT UPDATED")</f>
        <v>5</v>
      </c>
      <c r="O212" s="4">
        <f>COUNTIF(D:D,D212)</f>
        <v>5</v>
      </c>
    </row>
    <row r="213" spans="1:15" hidden="1" x14ac:dyDescent="0.25">
      <c r="A213" s="4">
        <v>348</v>
      </c>
      <c r="B213" s="4" t="s">
        <v>94</v>
      </c>
      <c r="C213" s="7">
        <v>45785</v>
      </c>
      <c r="D213" s="5" t="s">
        <v>210</v>
      </c>
      <c r="E213" s="4" t="e">
        <v>#N/A</v>
      </c>
      <c r="F213" s="4" t="s">
        <v>11</v>
      </c>
      <c r="G213" s="6">
        <v>0</v>
      </c>
      <c r="H213" s="4" t="s">
        <v>29</v>
      </c>
      <c r="I213" s="4" t="s">
        <v>215</v>
      </c>
      <c r="J213" s="6">
        <v>-161.12</v>
      </c>
      <c r="K213" s="6" t="str">
        <f>I213&amp;J213</f>
        <v>020250695049K980X00.OC386837X8092-161.12</v>
      </c>
      <c r="L213" s="4" t="str">
        <f>IF(COUNTIF(D:D,D213)&gt;1,"D","N")</f>
        <v>D</v>
      </c>
      <c r="M213" s="4">
        <f>COUNTIFS(D:D,D213,F:F,"UPDATED")</f>
        <v>0</v>
      </c>
      <c r="N213" s="4">
        <f>COUNTIFS(D:D,D213,F:F,"NOT UPDATED")</f>
        <v>5</v>
      </c>
      <c r="O213" s="4">
        <f>COUNTIF(D:D,D213)</f>
        <v>5</v>
      </c>
    </row>
    <row r="214" spans="1:15" hidden="1" x14ac:dyDescent="0.25">
      <c r="A214" s="4">
        <v>76</v>
      </c>
      <c r="B214" s="4" t="s">
        <v>94</v>
      </c>
      <c r="C214" s="7">
        <v>45785</v>
      </c>
      <c r="D214" s="5" t="s">
        <v>216</v>
      </c>
      <c r="E214" s="4" t="e">
        <v>#N/A</v>
      </c>
      <c r="F214" s="4" t="s">
        <v>11</v>
      </c>
      <c r="G214" s="6">
        <v>13064.27</v>
      </c>
      <c r="H214" s="4" t="s">
        <v>15</v>
      </c>
      <c r="I214" s="4" t="s">
        <v>217</v>
      </c>
      <c r="J214" s="6">
        <v>71.540000000000006</v>
      </c>
      <c r="K214" s="6" t="str">
        <f>I214&amp;J214</f>
        <v>0202404350913T50X.OC201953X3149471.54</v>
      </c>
      <c r="L214" s="4" t="str">
        <f>IF(COUNTIF(D:D,D214)&gt;1,"D","N")</f>
        <v>D</v>
      </c>
      <c r="M214" s="4">
        <f>COUNTIFS(D:D,D214,F:F,"UPDATED")</f>
        <v>0</v>
      </c>
      <c r="N214" s="4">
        <f>COUNTIFS(D:D,D214,F:F,"NOT UPDATED")</f>
        <v>7</v>
      </c>
      <c r="O214" s="4">
        <f>COUNTIF(D:D,D214)</f>
        <v>7</v>
      </c>
    </row>
    <row r="215" spans="1:15" hidden="1" x14ac:dyDescent="0.25">
      <c r="A215" s="4">
        <v>70</v>
      </c>
      <c r="B215" s="4" t="s">
        <v>94</v>
      </c>
      <c r="C215" s="7">
        <v>45785</v>
      </c>
      <c r="D215" s="5" t="s">
        <v>216</v>
      </c>
      <c r="E215" s="4" t="e">
        <v>#N/A</v>
      </c>
      <c r="F215" s="4" t="s">
        <v>11</v>
      </c>
      <c r="G215" s="6">
        <v>13064.27</v>
      </c>
      <c r="H215" s="4" t="s">
        <v>15</v>
      </c>
      <c r="I215" s="4" t="s">
        <v>218</v>
      </c>
      <c r="J215" s="6">
        <v>142.33000000000001</v>
      </c>
      <c r="K215" s="6" t="str">
        <f>I215&amp;J215</f>
        <v>02024277501333P0X.OC310246X18883142.33</v>
      </c>
      <c r="L215" s="4" t="str">
        <f>IF(COUNTIF(D:D,D215)&gt;1,"D","N")</f>
        <v>D</v>
      </c>
      <c r="M215" s="4">
        <f>COUNTIFS(D:D,D215,F:F,"UPDATED")</f>
        <v>0</v>
      </c>
      <c r="N215" s="4">
        <f>COUNTIFS(D:D,D215,F:F,"NOT UPDATED")</f>
        <v>7</v>
      </c>
      <c r="O215" s="4">
        <f>COUNTIF(D:D,D215)</f>
        <v>7</v>
      </c>
    </row>
    <row r="216" spans="1:15" hidden="1" x14ac:dyDescent="0.25">
      <c r="A216" s="4">
        <v>71</v>
      </c>
      <c r="B216" s="4" t="s">
        <v>94</v>
      </c>
      <c r="C216" s="7">
        <v>45785</v>
      </c>
      <c r="D216" s="5" t="s">
        <v>216</v>
      </c>
      <c r="E216" s="4" t="e">
        <v>#N/A</v>
      </c>
      <c r="F216" s="4" t="s">
        <v>11</v>
      </c>
      <c r="G216" s="6">
        <v>13064.27</v>
      </c>
      <c r="H216" s="4" t="s">
        <v>15</v>
      </c>
      <c r="I216" s="4" t="s">
        <v>219</v>
      </c>
      <c r="J216" s="6">
        <v>142.33000000000001</v>
      </c>
      <c r="K216" s="6" t="str">
        <f>I216&amp;J216</f>
        <v>0202428550120C40X.OC313888X18883142.33</v>
      </c>
      <c r="L216" s="4" t="str">
        <f>IF(COUNTIF(D:D,D216)&gt;1,"D","N")</f>
        <v>D</v>
      </c>
      <c r="M216" s="4">
        <f>COUNTIFS(D:D,D216,F:F,"UPDATED")</f>
        <v>0</v>
      </c>
      <c r="N216" s="4">
        <f>COUNTIFS(D:D,D216,F:F,"NOT UPDATED")</f>
        <v>7</v>
      </c>
      <c r="O216" s="4">
        <f>COUNTIF(D:D,D216)</f>
        <v>7</v>
      </c>
    </row>
    <row r="217" spans="1:15" hidden="1" x14ac:dyDescent="0.25">
      <c r="A217" s="4">
        <v>72</v>
      </c>
      <c r="B217" s="4" t="s">
        <v>94</v>
      </c>
      <c r="C217" s="7">
        <v>45785</v>
      </c>
      <c r="D217" s="5" t="s">
        <v>216</v>
      </c>
      <c r="E217" s="4" t="e">
        <v>#N/A</v>
      </c>
      <c r="F217" s="4" t="s">
        <v>11</v>
      </c>
      <c r="G217" s="6">
        <v>13064.27</v>
      </c>
      <c r="H217" s="4" t="s">
        <v>15</v>
      </c>
      <c r="I217" s="4" t="s">
        <v>220</v>
      </c>
      <c r="J217" s="6">
        <v>94.63</v>
      </c>
      <c r="K217" s="6" t="str">
        <f>I217&amp;J217</f>
        <v>02024289506J8100X.OC315116X1888394.63</v>
      </c>
      <c r="L217" s="4" t="str">
        <f>IF(COUNTIF(D:D,D217)&gt;1,"D","N")</f>
        <v>D</v>
      </c>
      <c r="M217" s="4">
        <f>COUNTIFS(D:D,D217,F:F,"UPDATED")</f>
        <v>0</v>
      </c>
      <c r="N217" s="4">
        <f>COUNTIFS(D:D,D217,F:F,"NOT UPDATED")</f>
        <v>7</v>
      </c>
      <c r="O217" s="4">
        <f>COUNTIF(D:D,D217)</f>
        <v>7</v>
      </c>
    </row>
    <row r="218" spans="1:15" hidden="1" x14ac:dyDescent="0.25">
      <c r="A218" s="4">
        <v>73</v>
      </c>
      <c r="B218" s="4" t="s">
        <v>94</v>
      </c>
      <c r="C218" s="7">
        <v>45785</v>
      </c>
      <c r="D218" s="5" t="s">
        <v>216</v>
      </c>
      <c r="E218" s="4" t="e">
        <v>#N/A</v>
      </c>
      <c r="F218" s="4" t="s">
        <v>11</v>
      </c>
      <c r="G218" s="6">
        <v>13064.27</v>
      </c>
      <c r="H218" s="4" t="s">
        <v>15</v>
      </c>
      <c r="I218" s="4" t="s">
        <v>221</v>
      </c>
      <c r="J218" s="6">
        <v>160.52000000000001</v>
      </c>
      <c r="K218" s="6" t="str">
        <f>I218&amp;J218</f>
        <v>0202429150573U30X.OC315728X18883160.52</v>
      </c>
      <c r="L218" s="4" t="str">
        <f>IF(COUNTIF(D:D,D218)&gt;1,"D","N")</f>
        <v>D</v>
      </c>
      <c r="M218" s="4">
        <f>COUNTIFS(D:D,D218,F:F,"UPDATED")</f>
        <v>0</v>
      </c>
      <c r="N218" s="4">
        <f>COUNTIFS(D:D,D218,F:F,"NOT UPDATED")</f>
        <v>7</v>
      </c>
      <c r="O218" s="4">
        <f>COUNTIF(D:D,D218)</f>
        <v>7</v>
      </c>
    </row>
    <row r="219" spans="1:15" hidden="1" x14ac:dyDescent="0.25">
      <c r="A219" s="4">
        <v>74</v>
      </c>
      <c r="B219" s="4" t="s">
        <v>94</v>
      </c>
      <c r="C219" s="7">
        <v>45785</v>
      </c>
      <c r="D219" s="5" t="s">
        <v>216</v>
      </c>
      <c r="E219" s="4" t="e">
        <v>#N/A</v>
      </c>
      <c r="F219" s="4" t="s">
        <v>11</v>
      </c>
      <c r="G219" s="6">
        <v>13064.27</v>
      </c>
      <c r="H219" s="4" t="s">
        <v>15</v>
      </c>
      <c r="I219" s="4" t="s">
        <v>222</v>
      </c>
      <c r="J219" s="6">
        <v>142.33000000000001</v>
      </c>
      <c r="K219" s="6" t="str">
        <f>I219&amp;J219</f>
        <v>0202429950Z38180X.OC320822X18883142.33</v>
      </c>
      <c r="L219" s="4" t="str">
        <f>IF(COUNTIF(D:D,D219)&gt;1,"D","N")</f>
        <v>D</v>
      </c>
      <c r="M219" s="4">
        <f>COUNTIFS(D:D,D219,F:F,"UPDATED")</f>
        <v>0</v>
      </c>
      <c r="N219" s="4">
        <f>COUNTIFS(D:D,D219,F:F,"NOT UPDATED")</f>
        <v>7</v>
      </c>
      <c r="O219" s="4">
        <f>COUNTIF(D:D,D219)</f>
        <v>7</v>
      </c>
    </row>
    <row r="220" spans="1:15" hidden="1" x14ac:dyDescent="0.25">
      <c r="A220" s="4">
        <v>75</v>
      </c>
      <c r="B220" s="4" t="s">
        <v>94</v>
      </c>
      <c r="C220" s="7">
        <v>45785</v>
      </c>
      <c r="D220" s="5" t="s">
        <v>216</v>
      </c>
      <c r="E220" s="4" t="e">
        <v>#N/A</v>
      </c>
      <c r="F220" s="4" t="s">
        <v>11</v>
      </c>
      <c r="G220" s="6">
        <v>13064.27</v>
      </c>
      <c r="H220" s="4" t="s">
        <v>15</v>
      </c>
      <c r="I220" s="4" t="s">
        <v>223</v>
      </c>
      <c r="J220" s="6">
        <v>142.33000000000001</v>
      </c>
      <c r="K220" s="6" t="str">
        <f>I220&amp;J220</f>
        <v>0202429950Z87680X.OC320785X18883142.33</v>
      </c>
      <c r="L220" s="4" t="str">
        <f>IF(COUNTIF(D:D,D220)&gt;1,"D","N")</f>
        <v>D</v>
      </c>
      <c r="M220" s="4">
        <f>COUNTIFS(D:D,D220,F:F,"UPDATED")</f>
        <v>0</v>
      </c>
      <c r="N220" s="4">
        <f>COUNTIFS(D:D,D220,F:F,"NOT UPDATED")</f>
        <v>7</v>
      </c>
      <c r="O220" s="4">
        <f>COUNTIF(D:D,D220)</f>
        <v>7</v>
      </c>
    </row>
    <row r="221" spans="1:15" hidden="1" x14ac:dyDescent="0.25">
      <c r="A221" s="4">
        <v>85</v>
      </c>
      <c r="B221" s="4" t="s">
        <v>94</v>
      </c>
      <c r="C221" s="7">
        <v>45786</v>
      </c>
      <c r="D221" s="5" t="s">
        <v>224</v>
      </c>
      <c r="E221" s="4" t="e">
        <v>#N/A</v>
      </c>
      <c r="F221" s="4" t="s">
        <v>11</v>
      </c>
      <c r="G221" s="6">
        <v>14855.98</v>
      </c>
      <c r="H221" s="4" t="s">
        <v>29</v>
      </c>
      <c r="I221" s="4" t="s">
        <v>225</v>
      </c>
      <c r="J221" s="6">
        <v>-95.02</v>
      </c>
      <c r="K221" s="6" t="str">
        <f>I221&amp;J221</f>
        <v>02023187503A7580X00.OC122906X20971-95.02</v>
      </c>
      <c r="L221" s="4" t="str">
        <f>IF(COUNTIF(D:D,D221)&gt;1,"D","N")</f>
        <v>N</v>
      </c>
      <c r="M221" s="4">
        <f>COUNTIFS(D:D,D221,F:F,"UPDATED")</f>
        <v>0</v>
      </c>
      <c r="N221" s="4">
        <f>COUNTIFS(D:D,D221,F:F,"NOT UPDATED")</f>
        <v>1</v>
      </c>
      <c r="O221" s="4">
        <f>COUNTIF(D:D,D221)</f>
        <v>1</v>
      </c>
    </row>
    <row r="222" spans="1:15" hidden="1" x14ac:dyDescent="0.25">
      <c r="A222" s="4">
        <v>89</v>
      </c>
      <c r="B222" s="4" t="s">
        <v>94</v>
      </c>
      <c r="C222" s="7">
        <v>45789</v>
      </c>
      <c r="D222" s="5" t="s">
        <v>226</v>
      </c>
      <c r="E222" s="4" t="e">
        <v>#N/A</v>
      </c>
      <c r="F222" s="4" t="s">
        <v>11</v>
      </c>
      <c r="G222" s="6">
        <v>9698.5400000000009</v>
      </c>
      <c r="H222" s="4" t="s">
        <v>194</v>
      </c>
      <c r="I222" s="4" t="s">
        <v>227</v>
      </c>
      <c r="J222" s="6">
        <v>-13.39</v>
      </c>
      <c r="K222" s="6" t="str">
        <f>I222&amp;J222</f>
        <v>0202505950C74900X01.OC382534X45918-13.39</v>
      </c>
      <c r="L222" s="4" t="str">
        <f>IF(COUNTIF(D:D,D222)&gt;1,"D","N")</f>
        <v>N</v>
      </c>
      <c r="M222" s="4">
        <f>COUNTIFS(D:D,D222,F:F,"UPDATED")</f>
        <v>0</v>
      </c>
      <c r="N222" s="4">
        <f>COUNTIFS(D:D,D222,F:F,"NOT UPDATED")</f>
        <v>1</v>
      </c>
      <c r="O222" s="4">
        <f>COUNTIF(D:D,D222)</f>
        <v>1</v>
      </c>
    </row>
    <row r="223" spans="1:15" hidden="1" x14ac:dyDescent="0.25">
      <c r="A223" s="4">
        <v>86</v>
      </c>
      <c r="B223" s="4" t="s">
        <v>94</v>
      </c>
      <c r="C223" s="7">
        <v>45786</v>
      </c>
      <c r="D223" s="5" t="s">
        <v>228</v>
      </c>
      <c r="E223" s="4" t="e">
        <v>#N/A</v>
      </c>
      <c r="F223" s="4" t="s">
        <v>11</v>
      </c>
      <c r="G223" s="6">
        <v>0</v>
      </c>
      <c r="H223" s="4" t="s">
        <v>194</v>
      </c>
      <c r="I223" s="4" t="s">
        <v>229</v>
      </c>
      <c r="J223" s="6">
        <v>-14.86</v>
      </c>
      <c r="K223" s="6" t="str">
        <f>I223&amp;J223</f>
        <v>02024243508436B0X01.OC293422X31015-14.86</v>
      </c>
      <c r="L223" s="4" t="str">
        <f>IF(COUNTIF(D:D,D223)&gt;1,"D","N")</f>
        <v>N</v>
      </c>
      <c r="M223" s="4">
        <f>COUNTIFS(D:D,D223,F:F,"UPDATED")</f>
        <v>0</v>
      </c>
      <c r="N223" s="4">
        <f>COUNTIFS(D:D,D223,F:F,"NOT UPDATED")</f>
        <v>1</v>
      </c>
      <c r="O223" s="4">
        <f>COUNTIF(D:D,D223)</f>
        <v>1</v>
      </c>
    </row>
    <row r="224" spans="1:15" hidden="1" x14ac:dyDescent="0.25">
      <c r="A224" s="4">
        <v>129</v>
      </c>
      <c r="B224" s="4" t="s">
        <v>94</v>
      </c>
      <c r="C224" s="7">
        <v>45791</v>
      </c>
      <c r="D224" s="5" t="s">
        <v>230</v>
      </c>
      <c r="E224" s="4" t="s">
        <v>230</v>
      </c>
      <c r="F224" s="4" t="s">
        <v>339</v>
      </c>
      <c r="G224" s="6">
        <v>9611.59</v>
      </c>
      <c r="H224" s="4" t="s">
        <v>194</v>
      </c>
      <c r="I224" s="8" t="s">
        <v>231</v>
      </c>
      <c r="J224" s="6">
        <v>-13.39</v>
      </c>
      <c r="K224" s="6" t="str">
        <f>I224&amp;J224</f>
        <v>02025085503E9900X00.OC394784X44974-13.39</v>
      </c>
      <c r="L224" s="4" t="str">
        <f>IF(COUNTIF(D:D,D224)&gt;1,"D","N")</f>
        <v>N</v>
      </c>
      <c r="M224" s="4">
        <f>COUNTIFS(D:D,D224,F:F,"UPDATED")</f>
        <v>1</v>
      </c>
      <c r="N224" s="4">
        <f>COUNTIFS(D:D,D224,F:F,"NOT UPDATED")</f>
        <v>0</v>
      </c>
      <c r="O224" s="4">
        <f>COUNTIF(D:D,D224)</f>
        <v>1</v>
      </c>
    </row>
    <row r="225" spans="1:15" hidden="1" x14ac:dyDescent="0.25">
      <c r="A225" s="4">
        <v>337</v>
      </c>
      <c r="B225" s="4" t="s">
        <v>94</v>
      </c>
      <c r="D225" s="5" t="s">
        <v>232</v>
      </c>
      <c r="E225" s="4" t="s">
        <v>232</v>
      </c>
      <c r="F225" s="4" t="s">
        <v>339</v>
      </c>
      <c r="G225" s="6">
        <v>25677.360000000001</v>
      </c>
      <c r="H225" s="4" t="s">
        <v>29</v>
      </c>
      <c r="I225" s="4" t="s">
        <v>233</v>
      </c>
      <c r="J225" s="6">
        <v>-164.15</v>
      </c>
      <c r="K225" s="6" t="str">
        <f>I225&amp;J225</f>
        <v>0202320250D83350X00.OC126997X11061-164.15</v>
      </c>
      <c r="L225" s="4" t="str">
        <f>IF(COUNTIF(D:D,D225)&gt;1,"D","N")</f>
        <v>N</v>
      </c>
      <c r="M225" s="4">
        <f>COUNTIFS(D:D,D225,F:F,"UPDATED")</f>
        <v>1</v>
      </c>
      <c r="N225" s="4">
        <f>COUNTIFS(D:D,D225,F:F,"NOT UPDATED")</f>
        <v>0</v>
      </c>
      <c r="O225" s="4">
        <f>COUNTIF(D:D,D225)</f>
        <v>1</v>
      </c>
    </row>
    <row r="226" spans="1:15" hidden="1" x14ac:dyDescent="0.25">
      <c r="A226" s="4">
        <v>130</v>
      </c>
      <c r="B226" s="4" t="s">
        <v>94</v>
      </c>
      <c r="C226" s="7">
        <v>45791</v>
      </c>
      <c r="D226" s="5" t="s">
        <v>234</v>
      </c>
      <c r="E226" s="4" t="e">
        <v>#N/A</v>
      </c>
      <c r="F226" s="4" t="s">
        <v>11</v>
      </c>
      <c r="G226" s="6">
        <v>3622.47</v>
      </c>
      <c r="H226" s="4" t="s">
        <v>29</v>
      </c>
      <c r="I226" s="4" t="s">
        <v>235</v>
      </c>
      <c r="J226" s="6">
        <v>-1.34</v>
      </c>
      <c r="K226" s="6" t="str">
        <f>I226&amp;J226</f>
        <v>8.0202505757425D70X00.OC368012X30-1.34</v>
      </c>
      <c r="L226" s="4" t="str">
        <f>IF(COUNTIF(D:D,D226)&gt;1,"D","N")</f>
        <v>N</v>
      </c>
      <c r="M226" s="4">
        <f>COUNTIFS(D:D,D226,F:F,"UPDATED")</f>
        <v>0</v>
      </c>
      <c r="N226" s="4">
        <f>COUNTIFS(D:D,D226,F:F,"NOT UPDATED")</f>
        <v>1</v>
      </c>
      <c r="O226" s="4">
        <f>COUNTIF(D:D,D226)</f>
        <v>1</v>
      </c>
    </row>
    <row r="227" spans="1:15" hidden="1" x14ac:dyDescent="0.25">
      <c r="A227" s="4">
        <v>333</v>
      </c>
      <c r="B227" s="4" t="s">
        <v>94</v>
      </c>
      <c r="D227" s="5" t="s">
        <v>236</v>
      </c>
      <c r="E227" s="4" t="e">
        <v>#N/A</v>
      </c>
      <c r="F227" s="4" t="s">
        <v>11</v>
      </c>
      <c r="G227" s="6">
        <v>17264.98</v>
      </c>
      <c r="H227" s="4" t="s">
        <v>29</v>
      </c>
      <c r="I227" s="4" t="s">
        <v>237</v>
      </c>
      <c r="J227" s="6">
        <v>-1470.67</v>
      </c>
      <c r="K227" s="6" t="str">
        <f>I227&amp;J227</f>
        <v>02024017505S1380X02.OC222709X516-1470.67</v>
      </c>
      <c r="L227" s="4" t="str">
        <f>IF(COUNTIF(D:D,D227)&gt;1,"D","N")</f>
        <v>D</v>
      </c>
      <c r="M227" s="4">
        <f>COUNTIFS(D:D,D227,F:F,"UPDATED")</f>
        <v>0</v>
      </c>
      <c r="N227" s="4">
        <f>COUNTIFS(D:D,D227,F:F,"NOT UPDATED")</f>
        <v>2</v>
      </c>
      <c r="O227" s="4">
        <f>COUNTIF(D:D,D227)</f>
        <v>2</v>
      </c>
    </row>
    <row r="228" spans="1:15" hidden="1" x14ac:dyDescent="0.25">
      <c r="A228" s="4">
        <v>332</v>
      </c>
      <c r="B228" s="4" t="s">
        <v>94</v>
      </c>
      <c r="D228" s="5" t="s">
        <v>236</v>
      </c>
      <c r="E228" s="4" t="e">
        <v>#N/A</v>
      </c>
      <c r="F228" s="4" t="s">
        <v>11</v>
      </c>
      <c r="G228" s="6">
        <v>17264.98</v>
      </c>
      <c r="H228" s="4" t="s">
        <v>29</v>
      </c>
      <c r="I228" s="4" t="s">
        <v>238</v>
      </c>
      <c r="J228" s="6">
        <v>-75.7</v>
      </c>
      <c r="K228" s="6" t="str">
        <f>I228&amp;J228</f>
        <v>02025042501696X0X00.OC372694X37427-75.7</v>
      </c>
      <c r="L228" s="4" t="str">
        <f>IF(COUNTIF(D:D,D228)&gt;1,"D","N")</f>
        <v>D</v>
      </c>
      <c r="M228" s="4">
        <f>COUNTIFS(D:D,D228,F:F,"UPDATED")</f>
        <v>0</v>
      </c>
      <c r="N228" s="4">
        <f>COUNTIFS(D:D,D228,F:F,"NOT UPDATED")</f>
        <v>2</v>
      </c>
      <c r="O228" s="4">
        <f>COUNTIF(D:D,D228)</f>
        <v>2</v>
      </c>
    </row>
    <row r="229" spans="1:15" hidden="1" x14ac:dyDescent="0.25">
      <c r="A229" s="4">
        <v>334</v>
      </c>
      <c r="B229" s="4" t="s">
        <v>94</v>
      </c>
      <c r="D229" s="5" t="s">
        <v>239</v>
      </c>
      <c r="E229" s="4" t="e">
        <v>#N/A</v>
      </c>
      <c r="F229" s="4" t="s">
        <v>11</v>
      </c>
      <c r="G229" s="6" t="s">
        <v>240</v>
      </c>
      <c r="H229" s="4" t="s">
        <v>194</v>
      </c>
      <c r="I229" s="4" t="s">
        <v>241</v>
      </c>
      <c r="J229" s="6">
        <v>-43.13</v>
      </c>
      <c r="K229" s="6" t="str">
        <f>I229&amp;J229</f>
        <v>020250455080K620X01.OC374507X45567-43.13</v>
      </c>
      <c r="L229" s="4" t="str">
        <f>IF(COUNTIF(D:D,D229)&gt;1,"D","N")</f>
        <v>N</v>
      </c>
      <c r="M229" s="4">
        <f>COUNTIFS(D:D,D229,F:F,"UPDATED")</f>
        <v>0</v>
      </c>
      <c r="N229" s="4">
        <f>COUNTIFS(D:D,D229,F:F,"NOT UPDATED")</f>
        <v>1</v>
      </c>
      <c r="O229" s="4">
        <f>COUNTIF(D:D,D229)</f>
        <v>1</v>
      </c>
    </row>
    <row r="230" spans="1:15" hidden="1" x14ac:dyDescent="0.25">
      <c r="A230" s="4">
        <v>159</v>
      </c>
      <c r="B230" s="4" t="s">
        <v>94</v>
      </c>
      <c r="C230" s="7">
        <v>45796</v>
      </c>
      <c r="D230" s="5" t="s">
        <v>242</v>
      </c>
      <c r="E230" s="4" t="e">
        <v>#N/A</v>
      </c>
      <c r="F230" s="4" t="s">
        <v>11</v>
      </c>
      <c r="G230" s="6">
        <v>27986.37</v>
      </c>
      <c r="H230" s="4" t="s">
        <v>29</v>
      </c>
      <c r="I230" s="4" t="s">
        <v>243</v>
      </c>
      <c r="J230" s="6">
        <v>-67.86</v>
      </c>
      <c r="K230" s="6" t="str">
        <f>I230&amp;J230</f>
        <v>02023157505995W0X00.OC111663X4653-67.86</v>
      </c>
      <c r="L230" s="4" t="str">
        <f>IF(COUNTIF(D:D,D230)&gt;1,"D","N")</f>
        <v>D</v>
      </c>
      <c r="M230" s="4">
        <f>COUNTIFS(D:D,D230,F:F,"UPDATED")</f>
        <v>0</v>
      </c>
      <c r="N230" s="4">
        <f>COUNTIFS(D:D,D230,F:F,"NOT UPDATED")</f>
        <v>2</v>
      </c>
      <c r="O230" s="4">
        <f>COUNTIF(D:D,D230)</f>
        <v>2</v>
      </c>
    </row>
    <row r="231" spans="1:15" hidden="1" x14ac:dyDescent="0.25">
      <c r="A231" s="4">
        <v>160</v>
      </c>
      <c r="B231" s="4" t="s">
        <v>94</v>
      </c>
      <c r="C231" s="7">
        <v>45796</v>
      </c>
      <c r="D231" s="5" t="s">
        <v>242</v>
      </c>
      <c r="E231" s="4" t="e">
        <v>#N/A</v>
      </c>
      <c r="F231" s="4" t="s">
        <v>11</v>
      </c>
      <c r="G231" s="6">
        <v>27986.37</v>
      </c>
      <c r="H231" s="4" t="s">
        <v>29</v>
      </c>
      <c r="I231" s="4" t="s">
        <v>244</v>
      </c>
      <c r="J231" s="6">
        <v>-76.88</v>
      </c>
      <c r="K231" s="6" t="str">
        <f>I231&amp;J231</f>
        <v>02024050505U1360X00.OC196806X4653-76.88</v>
      </c>
      <c r="L231" s="4" t="str">
        <f>IF(COUNTIF(D:D,D231)&gt;1,"D","N")</f>
        <v>D</v>
      </c>
      <c r="M231" s="4">
        <f>COUNTIFS(D:D,D231,F:F,"UPDATED")</f>
        <v>0</v>
      </c>
      <c r="N231" s="4">
        <f>COUNTIFS(D:D,D231,F:F,"NOT UPDATED")</f>
        <v>2</v>
      </c>
      <c r="O231" s="4">
        <f>COUNTIF(D:D,D231)</f>
        <v>2</v>
      </c>
    </row>
    <row r="232" spans="1:15" hidden="1" x14ac:dyDescent="0.25">
      <c r="A232" s="4">
        <v>166</v>
      </c>
      <c r="B232" s="4" t="s">
        <v>94</v>
      </c>
      <c r="C232" s="7">
        <v>45797</v>
      </c>
      <c r="D232" s="5" t="s">
        <v>245</v>
      </c>
      <c r="E232" s="4" t="s">
        <v>245</v>
      </c>
      <c r="F232" s="4" t="s">
        <v>339</v>
      </c>
      <c r="G232" s="6">
        <v>56496.25</v>
      </c>
      <c r="H232" s="4" t="s">
        <v>29</v>
      </c>
      <c r="I232" s="4" t="s">
        <v>246</v>
      </c>
      <c r="J232" s="6">
        <v>-492.36</v>
      </c>
      <c r="K232" s="6" t="str">
        <f>I232&amp;J232</f>
        <v>0202233550D02840X02.OC51703X9399-492.36</v>
      </c>
      <c r="L232" s="4" t="str">
        <f>IF(COUNTIF(D:D,D232)&gt;1,"D","N")</f>
        <v>D</v>
      </c>
      <c r="M232" s="4">
        <f>COUNTIFS(D:D,D232,F:F,"UPDATED")</f>
        <v>2</v>
      </c>
      <c r="N232" s="4">
        <f>COUNTIFS(D:D,D232,F:F,"NOT UPDATED")</f>
        <v>0</v>
      </c>
      <c r="O232" s="4">
        <f>COUNTIF(D:D,D232)</f>
        <v>2</v>
      </c>
    </row>
    <row r="233" spans="1:15" hidden="1" x14ac:dyDescent="0.25">
      <c r="A233" s="4">
        <v>165</v>
      </c>
      <c r="B233" s="4" t="s">
        <v>94</v>
      </c>
      <c r="C233" s="7">
        <v>45797</v>
      </c>
      <c r="D233" s="5" t="s">
        <v>245</v>
      </c>
      <c r="E233" s="4" t="s">
        <v>245</v>
      </c>
      <c r="F233" s="4" t="s">
        <v>339</v>
      </c>
      <c r="G233" s="6">
        <v>56496.25</v>
      </c>
      <c r="H233" s="4" t="s">
        <v>29</v>
      </c>
      <c r="I233" s="4" t="s">
        <v>247</v>
      </c>
      <c r="J233" s="6">
        <v>-210.84</v>
      </c>
      <c r="K233" s="6" t="str">
        <f>I233&amp;J233</f>
        <v>0202505950C81920X00.OC383370X45832-210.84</v>
      </c>
      <c r="L233" s="4" t="str">
        <f>IF(COUNTIF(D:D,D233)&gt;1,"D","N")</f>
        <v>D</v>
      </c>
      <c r="M233" s="4">
        <f>COUNTIFS(D:D,D233,F:F,"UPDATED")</f>
        <v>2</v>
      </c>
      <c r="N233" s="4">
        <f>COUNTIFS(D:D,D233,F:F,"NOT UPDATED")</f>
        <v>0</v>
      </c>
      <c r="O233" s="4">
        <f>COUNTIF(D:D,D233)</f>
        <v>2</v>
      </c>
    </row>
    <row r="234" spans="1:15" hidden="1" x14ac:dyDescent="0.25">
      <c r="A234" s="4">
        <v>173</v>
      </c>
      <c r="B234" s="4" t="s">
        <v>94</v>
      </c>
      <c r="C234" s="7">
        <v>45798</v>
      </c>
      <c r="D234" s="5" t="s">
        <v>248</v>
      </c>
      <c r="E234" s="4" t="s">
        <v>248</v>
      </c>
      <c r="F234" s="4" t="s">
        <v>339</v>
      </c>
      <c r="G234" s="6">
        <v>14882.71</v>
      </c>
      <c r="H234" s="4" t="s">
        <v>29</v>
      </c>
      <c r="I234" s="4" t="s">
        <v>249</v>
      </c>
      <c r="J234" s="6">
        <v>-651.97</v>
      </c>
      <c r="K234" s="6" t="str">
        <f>I234&amp;J234</f>
        <v>02025008504987H0X00.OC356701X42589-651.97</v>
      </c>
      <c r="L234" s="4" t="str">
        <f>IF(COUNTIF(D:D,D234)&gt;1,"D","N")</f>
        <v>N</v>
      </c>
      <c r="M234" s="4">
        <f>COUNTIFS(D:D,D234,F:F,"UPDATED")</f>
        <v>1</v>
      </c>
      <c r="N234" s="4">
        <f>COUNTIFS(D:D,D234,F:F,"NOT UPDATED")</f>
        <v>0</v>
      </c>
      <c r="O234" s="4">
        <f>COUNTIF(D:D,D234)</f>
        <v>1</v>
      </c>
    </row>
    <row r="235" spans="1:15" hidden="1" x14ac:dyDescent="0.25">
      <c r="A235" s="4">
        <v>289</v>
      </c>
      <c r="B235" s="4" t="s">
        <v>94</v>
      </c>
      <c r="D235" s="5" t="s">
        <v>250</v>
      </c>
      <c r="E235" s="4" t="e">
        <v>#N/A</v>
      </c>
      <c r="F235" s="4" t="s">
        <v>11</v>
      </c>
      <c r="G235" s="6">
        <v>31784.84</v>
      </c>
      <c r="H235" s="4" t="s">
        <v>15</v>
      </c>
      <c r="I235" s="4" t="s">
        <v>251</v>
      </c>
      <c r="J235" s="6">
        <v>99.36</v>
      </c>
      <c r="K235" s="6" t="str">
        <f>I235&amp;J235</f>
        <v>02023026501U8230X.OC67735X1146999.36</v>
      </c>
      <c r="L235" s="4" t="str">
        <f>IF(COUNTIF(D:D,D235)&gt;1,"D","N")</f>
        <v>D</v>
      </c>
      <c r="M235" s="4">
        <f>COUNTIFS(D:D,D235,F:F,"UPDATED")</f>
        <v>0</v>
      </c>
      <c r="N235" s="4">
        <f>COUNTIFS(D:D,D235,F:F,"NOT UPDATED")</f>
        <v>20</v>
      </c>
      <c r="O235" s="4">
        <f>COUNTIF(D:D,D235)</f>
        <v>20</v>
      </c>
    </row>
    <row r="236" spans="1:15" hidden="1" x14ac:dyDescent="0.25">
      <c r="A236" s="4">
        <v>290</v>
      </c>
      <c r="B236" s="4" t="s">
        <v>94</v>
      </c>
      <c r="D236" s="5" t="s">
        <v>250</v>
      </c>
      <c r="E236" s="4" t="e">
        <v>#N/A</v>
      </c>
      <c r="F236" s="4" t="s">
        <v>11</v>
      </c>
      <c r="G236" s="6">
        <v>31784.84</v>
      </c>
      <c r="H236" s="4" t="s">
        <v>15</v>
      </c>
      <c r="I236" s="4" t="s">
        <v>252</v>
      </c>
      <c r="J236" s="6">
        <v>99.36</v>
      </c>
      <c r="K236" s="6" t="str">
        <f>I236&amp;J236</f>
        <v>020230315056K540X.OC70362X1146999.36</v>
      </c>
      <c r="L236" s="4" t="str">
        <f>IF(COUNTIF(D:D,D236)&gt;1,"D","N")</f>
        <v>D</v>
      </c>
      <c r="M236" s="4">
        <f>COUNTIFS(D:D,D236,F:F,"UPDATED")</f>
        <v>0</v>
      </c>
      <c r="N236" s="4">
        <f>COUNTIFS(D:D,D236,F:F,"NOT UPDATED")</f>
        <v>20</v>
      </c>
      <c r="O236" s="4">
        <f>COUNTIF(D:D,D236)</f>
        <v>20</v>
      </c>
    </row>
    <row r="237" spans="1:15" hidden="1" x14ac:dyDescent="0.25">
      <c r="A237" s="4">
        <v>284</v>
      </c>
      <c r="B237" s="4" t="s">
        <v>94</v>
      </c>
      <c r="D237" s="5" t="s">
        <v>250</v>
      </c>
      <c r="E237" s="4" t="e">
        <v>#N/A</v>
      </c>
      <c r="F237" s="4" t="s">
        <v>11</v>
      </c>
      <c r="G237" s="6">
        <v>31784.84</v>
      </c>
      <c r="H237" s="4" t="s">
        <v>15</v>
      </c>
      <c r="I237" s="4" t="s">
        <v>253</v>
      </c>
      <c r="J237" s="6">
        <v>82.84</v>
      </c>
      <c r="K237" s="6" t="str">
        <f>I237&amp;J237</f>
        <v>0202305850905U30X.OC78836X1089582.84</v>
      </c>
      <c r="L237" s="4" t="str">
        <f>IF(COUNTIF(D:D,D237)&gt;1,"D","N")</f>
        <v>D</v>
      </c>
      <c r="M237" s="4">
        <f>COUNTIFS(D:D,D237,F:F,"UPDATED")</f>
        <v>0</v>
      </c>
      <c r="N237" s="4">
        <f>COUNTIFS(D:D,D237,F:F,"NOT UPDATED")</f>
        <v>20</v>
      </c>
      <c r="O237" s="4">
        <f>COUNTIF(D:D,D237)</f>
        <v>20</v>
      </c>
    </row>
    <row r="238" spans="1:15" hidden="1" x14ac:dyDescent="0.25">
      <c r="A238" s="4">
        <v>285</v>
      </c>
      <c r="B238" s="4" t="s">
        <v>94</v>
      </c>
      <c r="D238" s="5" t="s">
        <v>250</v>
      </c>
      <c r="E238" s="4" t="e">
        <v>#N/A</v>
      </c>
      <c r="F238" s="4" t="s">
        <v>11</v>
      </c>
      <c r="G238" s="6">
        <v>31784.84</v>
      </c>
      <c r="H238" s="4" t="s">
        <v>15</v>
      </c>
      <c r="I238" s="4" t="s">
        <v>254</v>
      </c>
      <c r="J238" s="6">
        <v>57.01</v>
      </c>
      <c r="K238" s="6" t="str">
        <f>I238&amp;J238</f>
        <v>0202306750420W20X.OC80750X1089557.01</v>
      </c>
      <c r="L238" s="4" t="str">
        <f>IF(COUNTIF(D:D,D238)&gt;1,"D","N")</f>
        <v>D</v>
      </c>
      <c r="M238" s="4">
        <f>COUNTIFS(D:D,D238,F:F,"UPDATED")</f>
        <v>0</v>
      </c>
      <c r="N238" s="4">
        <f>COUNTIFS(D:D,D238,F:F,"NOT UPDATED")</f>
        <v>20</v>
      </c>
      <c r="O238" s="4">
        <f>COUNTIF(D:D,D238)</f>
        <v>20</v>
      </c>
    </row>
    <row r="239" spans="1:15" hidden="1" x14ac:dyDescent="0.25">
      <c r="A239" s="4">
        <v>288</v>
      </c>
      <c r="B239" s="4" t="s">
        <v>94</v>
      </c>
      <c r="D239" s="5" t="s">
        <v>250</v>
      </c>
      <c r="E239" s="4" t="e">
        <v>#N/A</v>
      </c>
      <c r="F239" s="4" t="s">
        <v>11</v>
      </c>
      <c r="G239" s="6">
        <v>31784.84</v>
      </c>
      <c r="H239" s="4" t="s">
        <v>15</v>
      </c>
      <c r="I239" s="4" t="s">
        <v>255</v>
      </c>
      <c r="J239" s="6">
        <v>116.33</v>
      </c>
      <c r="K239" s="6" t="str">
        <f>I239&amp;J239</f>
        <v>0202306750801W60X.OC78562X16580116.33</v>
      </c>
      <c r="L239" s="4" t="str">
        <f>IF(COUNTIF(D:D,D239)&gt;1,"D","N")</f>
        <v>D</v>
      </c>
      <c r="M239" s="4">
        <f>COUNTIFS(D:D,D239,F:F,"UPDATED")</f>
        <v>0</v>
      </c>
      <c r="N239" s="4">
        <f>COUNTIFS(D:D,D239,F:F,"NOT UPDATED")</f>
        <v>20</v>
      </c>
      <c r="O239" s="4">
        <f>COUNTIF(D:D,D239)</f>
        <v>20</v>
      </c>
    </row>
    <row r="240" spans="1:15" hidden="1" x14ac:dyDescent="0.25">
      <c r="A240" s="4">
        <v>282</v>
      </c>
      <c r="B240" s="4" t="s">
        <v>94</v>
      </c>
      <c r="D240" s="5" t="s">
        <v>250</v>
      </c>
      <c r="E240" s="4" t="e">
        <v>#N/A</v>
      </c>
      <c r="F240" s="4" t="s">
        <v>11</v>
      </c>
      <c r="G240" s="6">
        <v>31784.84</v>
      </c>
      <c r="H240" s="4" t="s">
        <v>15</v>
      </c>
      <c r="I240" s="4" t="s">
        <v>256</v>
      </c>
      <c r="J240" s="6">
        <v>75.400000000000006</v>
      </c>
      <c r="K240" s="6" t="str">
        <f>I240&amp;J240</f>
        <v>0202306954557430X.OC83379X1176575.4</v>
      </c>
      <c r="L240" s="4" t="str">
        <f>IF(COUNTIF(D:D,D240)&gt;1,"D","N")</f>
        <v>D</v>
      </c>
      <c r="M240" s="4">
        <f>COUNTIFS(D:D,D240,F:F,"UPDATED")</f>
        <v>0</v>
      </c>
      <c r="N240" s="4">
        <f>COUNTIFS(D:D,D240,F:F,"NOT UPDATED")</f>
        <v>20</v>
      </c>
      <c r="O240" s="4">
        <f>COUNTIF(D:D,D240)</f>
        <v>20</v>
      </c>
    </row>
    <row r="241" spans="1:15" hidden="1" x14ac:dyDescent="0.25">
      <c r="A241" s="4">
        <v>274</v>
      </c>
      <c r="B241" s="4" t="s">
        <v>94</v>
      </c>
      <c r="D241" s="5" t="s">
        <v>250</v>
      </c>
      <c r="E241" s="4" t="e">
        <v>#N/A</v>
      </c>
      <c r="F241" s="4" t="s">
        <v>11</v>
      </c>
      <c r="G241" s="6">
        <v>31784.84</v>
      </c>
      <c r="H241" s="4" t="s">
        <v>15</v>
      </c>
      <c r="I241" s="8" t="s">
        <v>257</v>
      </c>
      <c r="J241" s="6">
        <v>177.87</v>
      </c>
      <c r="K241" s="6" t="str">
        <f>I241&amp;J241</f>
        <v>020232965029E630X.OC162648X3647177.87</v>
      </c>
      <c r="L241" s="4" t="str">
        <f>IF(COUNTIF(D:D,D241)&gt;1,"D","N")</f>
        <v>D</v>
      </c>
      <c r="M241" s="4">
        <f>COUNTIFS(D:D,D241,F:F,"UPDATED")</f>
        <v>0</v>
      </c>
      <c r="N241" s="4">
        <f>COUNTIFS(D:D,D241,F:F,"NOT UPDATED")</f>
        <v>20</v>
      </c>
      <c r="O241" s="4">
        <f>COUNTIF(D:D,D241)</f>
        <v>20</v>
      </c>
    </row>
    <row r="242" spans="1:15" hidden="1" x14ac:dyDescent="0.25">
      <c r="A242" s="4">
        <v>275</v>
      </c>
      <c r="B242" s="4" t="s">
        <v>94</v>
      </c>
      <c r="D242" s="5" t="s">
        <v>250</v>
      </c>
      <c r="E242" s="4" t="e">
        <v>#N/A</v>
      </c>
      <c r="F242" s="4" t="s">
        <v>11</v>
      </c>
      <c r="G242" s="6">
        <v>31784.84</v>
      </c>
      <c r="H242" s="4" t="s">
        <v>15</v>
      </c>
      <c r="I242" s="4" t="s">
        <v>258</v>
      </c>
      <c r="J242" s="6">
        <v>308.77</v>
      </c>
      <c r="K242" s="6" t="str">
        <f>I242&amp;J242</f>
        <v>020233215008W190X.OC172080X26134308.77</v>
      </c>
      <c r="L242" s="4" t="str">
        <f>IF(COUNTIF(D:D,D242)&gt;1,"D","N")</f>
        <v>D</v>
      </c>
      <c r="M242" s="4">
        <f>COUNTIFS(D:D,D242,F:F,"UPDATED")</f>
        <v>0</v>
      </c>
      <c r="N242" s="4">
        <f>COUNTIFS(D:D,D242,F:F,"NOT UPDATED")</f>
        <v>20</v>
      </c>
      <c r="O242" s="4">
        <f>COUNTIF(D:D,D242)</f>
        <v>20</v>
      </c>
    </row>
    <row r="243" spans="1:15" hidden="1" x14ac:dyDescent="0.25">
      <c r="A243" s="4">
        <v>276</v>
      </c>
      <c r="B243" s="4" t="s">
        <v>94</v>
      </c>
      <c r="D243" s="5" t="s">
        <v>250</v>
      </c>
      <c r="E243" s="4" t="e">
        <v>#N/A</v>
      </c>
      <c r="F243" s="4" t="s">
        <v>11</v>
      </c>
      <c r="G243" s="6">
        <v>31784.84</v>
      </c>
      <c r="H243" s="4" t="s">
        <v>15</v>
      </c>
      <c r="I243" s="4" t="s">
        <v>259</v>
      </c>
      <c r="J243" s="6">
        <v>308.77</v>
      </c>
      <c r="K243" s="6" t="str">
        <f>I243&amp;J243</f>
        <v>0202334150B88930X.OC179355X26134308.77</v>
      </c>
      <c r="L243" s="4" t="str">
        <f>IF(COUNTIF(D:D,D243)&gt;1,"D","N")</f>
        <v>D</v>
      </c>
      <c r="M243" s="4">
        <f>COUNTIFS(D:D,D243,F:F,"UPDATED")</f>
        <v>0</v>
      </c>
      <c r="N243" s="4">
        <f>COUNTIFS(D:D,D243,F:F,"NOT UPDATED")</f>
        <v>20</v>
      </c>
      <c r="O243" s="4">
        <f>COUNTIF(D:D,D243)</f>
        <v>20</v>
      </c>
    </row>
    <row r="244" spans="1:15" hidden="1" x14ac:dyDescent="0.25">
      <c r="A244" s="4">
        <v>277</v>
      </c>
      <c r="B244" s="4" t="s">
        <v>94</v>
      </c>
      <c r="D244" s="5" t="s">
        <v>250</v>
      </c>
      <c r="E244" s="4" t="e">
        <v>#N/A</v>
      </c>
      <c r="F244" s="4" t="s">
        <v>11</v>
      </c>
      <c r="G244" s="6">
        <v>31784.84</v>
      </c>
      <c r="H244" s="4" t="s">
        <v>15</v>
      </c>
      <c r="I244" s="4" t="s">
        <v>260</v>
      </c>
      <c r="J244" s="6">
        <v>308.77</v>
      </c>
      <c r="K244" s="6" t="str">
        <f>I244&amp;J244</f>
        <v>0202335550929A30X.OC184618X26134308.77</v>
      </c>
      <c r="L244" s="4" t="str">
        <f>IF(COUNTIF(D:D,D244)&gt;1,"D","N")</f>
        <v>D</v>
      </c>
      <c r="M244" s="4">
        <f>COUNTIFS(D:D,D244,F:F,"UPDATED")</f>
        <v>0</v>
      </c>
      <c r="N244" s="4">
        <f>COUNTIFS(D:D,D244,F:F,"NOT UPDATED")</f>
        <v>20</v>
      </c>
      <c r="O244" s="4">
        <f>COUNTIF(D:D,D244)</f>
        <v>20</v>
      </c>
    </row>
    <row r="245" spans="1:15" hidden="1" x14ac:dyDescent="0.25">
      <c r="A245" s="4">
        <v>278</v>
      </c>
      <c r="B245" s="4" t="s">
        <v>94</v>
      </c>
      <c r="D245" s="5" t="s">
        <v>250</v>
      </c>
      <c r="E245" s="4" t="e">
        <v>#N/A</v>
      </c>
      <c r="F245" s="4" t="s">
        <v>11</v>
      </c>
      <c r="G245" s="6">
        <v>31784.84</v>
      </c>
      <c r="H245" s="4" t="s">
        <v>15</v>
      </c>
      <c r="I245" s="4" t="s">
        <v>261</v>
      </c>
      <c r="J245" s="6">
        <v>277.89999999999998</v>
      </c>
      <c r="K245" s="6" t="str">
        <f>I245&amp;J245</f>
        <v>0202401650395U70X.OC192175X26134277.9</v>
      </c>
      <c r="L245" s="4" t="str">
        <f>IF(COUNTIF(D:D,D245)&gt;1,"D","N")</f>
        <v>D</v>
      </c>
      <c r="M245" s="4">
        <f>COUNTIFS(D:D,D245,F:F,"UPDATED")</f>
        <v>0</v>
      </c>
      <c r="N245" s="4">
        <f>COUNTIFS(D:D,D245,F:F,"NOT UPDATED")</f>
        <v>20</v>
      </c>
      <c r="O245" s="4">
        <f>COUNTIF(D:D,D245)</f>
        <v>20</v>
      </c>
    </row>
    <row r="246" spans="1:15" hidden="1" x14ac:dyDescent="0.25">
      <c r="A246" s="4">
        <v>279</v>
      </c>
      <c r="B246" s="4" t="s">
        <v>94</v>
      </c>
      <c r="D246" s="5" t="s">
        <v>250</v>
      </c>
      <c r="E246" s="4" t="e">
        <v>#N/A</v>
      </c>
      <c r="F246" s="4" t="s">
        <v>11</v>
      </c>
      <c r="G246" s="6">
        <v>31784.84</v>
      </c>
      <c r="H246" s="4" t="s">
        <v>15</v>
      </c>
      <c r="I246" s="4" t="s">
        <v>262</v>
      </c>
      <c r="J246" s="6">
        <v>277.89999999999998</v>
      </c>
      <c r="K246" s="6" t="str">
        <f>I246&amp;J246</f>
        <v>0202403050Q85530X.OC197887X26134277.9</v>
      </c>
      <c r="L246" s="4" t="str">
        <f>IF(COUNTIF(D:D,D246)&gt;1,"D","N")</f>
        <v>D</v>
      </c>
      <c r="M246" s="4">
        <f>COUNTIFS(D:D,D246,F:F,"UPDATED")</f>
        <v>0</v>
      </c>
      <c r="N246" s="4">
        <f>COUNTIFS(D:D,D246,F:F,"NOT UPDATED")</f>
        <v>20</v>
      </c>
      <c r="O246" s="4">
        <f>COUNTIF(D:D,D246)</f>
        <v>20</v>
      </c>
    </row>
    <row r="247" spans="1:15" hidden="1" x14ac:dyDescent="0.25">
      <c r="A247" s="4">
        <v>291</v>
      </c>
      <c r="B247" s="4" t="s">
        <v>94</v>
      </c>
      <c r="D247" s="5" t="s">
        <v>250</v>
      </c>
      <c r="E247" s="4" t="e">
        <v>#N/A</v>
      </c>
      <c r="F247" s="4" t="s">
        <v>11</v>
      </c>
      <c r="G247" s="6">
        <v>31784.84</v>
      </c>
      <c r="H247" s="4" t="s">
        <v>15</v>
      </c>
      <c r="I247" s="4" t="s">
        <v>263</v>
      </c>
      <c r="J247" s="6">
        <v>53.76</v>
      </c>
      <c r="K247" s="6" t="str">
        <f>I247&amp;J247</f>
        <v>0202403250711G60X.OC198961X2866153.76</v>
      </c>
      <c r="L247" s="4" t="str">
        <f>IF(COUNTIF(D:D,D247)&gt;1,"D","N")</f>
        <v>D</v>
      </c>
      <c r="M247" s="4">
        <f>COUNTIFS(D:D,D247,F:F,"UPDATED")</f>
        <v>0</v>
      </c>
      <c r="N247" s="4">
        <f>COUNTIFS(D:D,D247,F:F,"NOT UPDATED")</f>
        <v>20</v>
      </c>
      <c r="O247" s="4">
        <f>COUNTIF(D:D,D247)</f>
        <v>20</v>
      </c>
    </row>
    <row r="248" spans="1:15" hidden="1" x14ac:dyDescent="0.25">
      <c r="A248" s="4">
        <v>293</v>
      </c>
      <c r="B248" s="4" t="s">
        <v>94</v>
      </c>
      <c r="D248" s="5" t="s">
        <v>250</v>
      </c>
      <c r="E248" s="4" t="e">
        <v>#N/A</v>
      </c>
      <c r="F248" s="4" t="s">
        <v>11</v>
      </c>
      <c r="G248" s="6">
        <v>31784.84</v>
      </c>
      <c r="H248" s="4" t="s">
        <v>15</v>
      </c>
      <c r="I248" s="4" t="s">
        <v>264</v>
      </c>
      <c r="J248" s="6">
        <v>53.76</v>
      </c>
      <c r="K248" s="6" t="str">
        <f>I248&amp;J248</f>
        <v>02024037507985N0X.OC200285X51653.76</v>
      </c>
      <c r="L248" s="4" t="str">
        <f>IF(COUNTIF(D:D,D248)&gt;1,"D","N")</f>
        <v>D</v>
      </c>
      <c r="M248" s="4">
        <f>COUNTIFS(D:D,D248,F:F,"UPDATED")</f>
        <v>0</v>
      </c>
      <c r="N248" s="4">
        <f>COUNTIFS(D:D,D248,F:F,"NOT UPDATED")</f>
        <v>20</v>
      </c>
      <c r="O248" s="4">
        <f>COUNTIF(D:D,D248)</f>
        <v>20</v>
      </c>
    </row>
    <row r="249" spans="1:15" hidden="1" x14ac:dyDescent="0.25">
      <c r="A249" s="4">
        <v>280</v>
      </c>
      <c r="B249" s="4" t="s">
        <v>94</v>
      </c>
      <c r="D249" s="5" t="s">
        <v>250</v>
      </c>
      <c r="E249" s="4" t="e">
        <v>#N/A</v>
      </c>
      <c r="F249" s="4" t="s">
        <v>11</v>
      </c>
      <c r="G249" s="6">
        <v>31784.84</v>
      </c>
      <c r="H249" s="4" t="s">
        <v>15</v>
      </c>
      <c r="I249" s="4" t="s">
        <v>265</v>
      </c>
      <c r="J249" s="6">
        <v>277.89999999999998</v>
      </c>
      <c r="K249" s="6" t="str">
        <f>I249&amp;J249</f>
        <v>020240455086D960X.OC203511X26134277.9</v>
      </c>
      <c r="L249" s="4" t="str">
        <f>IF(COUNTIF(D:D,D249)&gt;1,"D","N")</f>
        <v>D</v>
      </c>
      <c r="M249" s="4">
        <f>COUNTIFS(D:D,D249,F:F,"UPDATED")</f>
        <v>0</v>
      </c>
      <c r="N249" s="4">
        <f>COUNTIFS(D:D,D249,F:F,"NOT UPDATED")</f>
        <v>20</v>
      </c>
      <c r="O249" s="4">
        <f>COUNTIF(D:D,D249)</f>
        <v>20</v>
      </c>
    </row>
    <row r="250" spans="1:15" hidden="1" x14ac:dyDescent="0.25">
      <c r="A250" s="4">
        <v>292</v>
      </c>
      <c r="B250" s="4" t="s">
        <v>94</v>
      </c>
      <c r="D250" s="5" t="s">
        <v>250</v>
      </c>
      <c r="E250" s="4" t="e">
        <v>#N/A</v>
      </c>
      <c r="F250" s="4" t="s">
        <v>11</v>
      </c>
      <c r="G250" s="6">
        <v>31784.84</v>
      </c>
      <c r="H250" s="4" t="s">
        <v>15</v>
      </c>
      <c r="I250" s="4" t="s">
        <v>266</v>
      </c>
      <c r="J250" s="6">
        <v>183.44</v>
      </c>
      <c r="K250" s="6" t="str">
        <f>I250&amp;J250</f>
        <v>0202417250L32030X.OC258463X21073183.44</v>
      </c>
      <c r="L250" s="4" t="str">
        <f>IF(COUNTIF(D:D,D250)&gt;1,"D","N")</f>
        <v>D</v>
      </c>
      <c r="M250" s="4">
        <f>COUNTIFS(D:D,D250,F:F,"UPDATED")</f>
        <v>0</v>
      </c>
      <c r="N250" s="4">
        <f>COUNTIFS(D:D,D250,F:F,"NOT UPDATED")</f>
        <v>20</v>
      </c>
      <c r="O250" s="4">
        <f>COUNTIF(D:D,D250)</f>
        <v>20</v>
      </c>
    </row>
    <row r="251" spans="1:15" hidden="1" x14ac:dyDescent="0.25">
      <c r="A251" s="4">
        <v>283</v>
      </c>
      <c r="B251" s="4" t="s">
        <v>94</v>
      </c>
      <c r="D251" s="5" t="s">
        <v>250</v>
      </c>
      <c r="E251" s="4" t="e">
        <v>#N/A</v>
      </c>
      <c r="F251" s="4" t="s">
        <v>11</v>
      </c>
      <c r="G251" s="6">
        <v>31784.84</v>
      </c>
      <c r="H251" s="4" t="s">
        <v>15</v>
      </c>
      <c r="I251" s="4" t="s">
        <v>267</v>
      </c>
      <c r="J251" s="6">
        <v>366</v>
      </c>
      <c r="K251" s="6" t="str">
        <f>I251&amp;J251</f>
        <v>02024184505J3080X.OC265455X21328366</v>
      </c>
      <c r="L251" s="4" t="str">
        <f>IF(COUNTIF(D:D,D251)&gt;1,"D","N")</f>
        <v>D</v>
      </c>
      <c r="M251" s="4">
        <f>COUNTIFS(D:D,D251,F:F,"UPDATED")</f>
        <v>0</v>
      </c>
      <c r="N251" s="4">
        <f>COUNTIFS(D:D,D251,F:F,"NOT UPDATED")</f>
        <v>20</v>
      </c>
      <c r="O251" s="4">
        <f>COUNTIF(D:D,D251)</f>
        <v>20</v>
      </c>
    </row>
    <row r="252" spans="1:15" hidden="1" x14ac:dyDescent="0.25">
      <c r="A252" s="4">
        <v>287</v>
      </c>
      <c r="B252" s="4" t="s">
        <v>94</v>
      </c>
      <c r="D252" s="5" t="s">
        <v>250</v>
      </c>
      <c r="E252" s="4" t="e">
        <v>#N/A</v>
      </c>
      <c r="F252" s="4" t="s">
        <v>11</v>
      </c>
      <c r="G252" s="6">
        <v>31784.84</v>
      </c>
      <c r="H252" s="4" t="s">
        <v>15</v>
      </c>
      <c r="I252" s="4" t="s">
        <v>268</v>
      </c>
      <c r="J252" s="6">
        <v>115.99</v>
      </c>
      <c r="K252" s="6" t="str">
        <f>I252&amp;J252</f>
        <v>0202422250Q30330X.OC282145X31952115.99</v>
      </c>
      <c r="L252" s="4" t="str">
        <f>IF(COUNTIF(D:D,D252)&gt;1,"D","N")</f>
        <v>D</v>
      </c>
      <c r="M252" s="4">
        <f>COUNTIFS(D:D,D252,F:F,"UPDATED")</f>
        <v>0</v>
      </c>
      <c r="N252" s="4">
        <f>COUNTIFS(D:D,D252,F:F,"NOT UPDATED")</f>
        <v>20</v>
      </c>
      <c r="O252" s="4">
        <f>COUNTIF(D:D,D252)</f>
        <v>20</v>
      </c>
    </row>
    <row r="253" spans="1:15" hidden="1" x14ac:dyDescent="0.25">
      <c r="A253" s="4">
        <v>281</v>
      </c>
      <c r="B253" s="4" t="s">
        <v>94</v>
      </c>
      <c r="D253" s="5" t="s">
        <v>250</v>
      </c>
      <c r="E253" s="4" t="e">
        <v>#N/A</v>
      </c>
      <c r="F253" s="4" t="s">
        <v>11</v>
      </c>
      <c r="G253" s="6">
        <v>31784.84</v>
      </c>
      <c r="H253" s="4" t="s">
        <v>15</v>
      </c>
      <c r="I253" s="4" t="s">
        <v>269</v>
      </c>
      <c r="J253" s="6">
        <v>406.83</v>
      </c>
      <c r="K253" s="6" t="str">
        <f>I253&amp;J253</f>
        <v>02024355507270C0X.OC349813X43067406.83</v>
      </c>
      <c r="L253" s="4" t="str">
        <f>IF(COUNTIF(D:D,D253)&gt;1,"D","N")</f>
        <v>D</v>
      </c>
      <c r="M253" s="4">
        <f>COUNTIFS(D:D,D253,F:F,"UPDATED")</f>
        <v>0</v>
      </c>
      <c r="N253" s="4">
        <f>COUNTIFS(D:D,D253,F:F,"NOT UPDATED")</f>
        <v>20</v>
      </c>
      <c r="O253" s="4">
        <f>COUNTIF(D:D,D253)</f>
        <v>20</v>
      </c>
    </row>
    <row r="254" spans="1:15" hidden="1" x14ac:dyDescent="0.25">
      <c r="A254" s="4">
        <v>286</v>
      </c>
      <c r="B254" s="4" t="s">
        <v>94</v>
      </c>
      <c r="D254" s="5" t="s">
        <v>250</v>
      </c>
      <c r="E254" s="4" t="e">
        <v>#N/A</v>
      </c>
      <c r="F254" s="4" t="s">
        <v>11</v>
      </c>
      <c r="G254" s="6">
        <v>31784.84</v>
      </c>
      <c r="H254" s="4" t="s">
        <v>15</v>
      </c>
      <c r="I254" s="4" t="s">
        <v>270</v>
      </c>
      <c r="J254" s="6">
        <v>107.49</v>
      </c>
      <c r="K254" s="6" t="str">
        <f>I254&amp;J254</f>
        <v>0202500623016770C.OC337875X9699107.49</v>
      </c>
      <c r="L254" s="4" t="str">
        <f>IF(COUNTIF(D:D,D254)&gt;1,"D","N")</f>
        <v>D</v>
      </c>
      <c r="M254" s="4">
        <f>COUNTIFS(D:D,D254,F:F,"UPDATED")</f>
        <v>0</v>
      </c>
      <c r="N254" s="4">
        <f>COUNTIFS(D:D,D254,F:F,"NOT UPDATED")</f>
        <v>20</v>
      </c>
      <c r="O254" s="4">
        <f>COUNTIF(D:D,D254)</f>
        <v>20</v>
      </c>
    </row>
    <row r="255" spans="1:15" hidden="1" x14ac:dyDescent="0.25">
      <c r="A255" s="4">
        <v>294</v>
      </c>
      <c r="B255" s="4" t="s">
        <v>94</v>
      </c>
      <c r="D255" s="5" t="s">
        <v>271</v>
      </c>
      <c r="E255" s="4" t="s">
        <v>271</v>
      </c>
      <c r="F255" s="4" t="s">
        <v>339</v>
      </c>
      <c r="G255" s="6">
        <v>7566.3</v>
      </c>
      <c r="H255" s="4" t="s">
        <v>15</v>
      </c>
      <c r="I255" s="8" t="s">
        <v>272</v>
      </c>
      <c r="J255" s="6">
        <v>173.51</v>
      </c>
      <c r="K255" s="6" t="str">
        <f>I255&amp;J255</f>
        <v>0202434850E50460X.OC345748X27220173.51</v>
      </c>
      <c r="L255" s="4" t="str">
        <f>IF(COUNTIF(D:D,D255)&gt;1,"D","N")</f>
        <v>D</v>
      </c>
      <c r="M255" s="4">
        <f>COUNTIFS(D:D,D255,F:F,"UPDATED")</f>
        <v>3</v>
      </c>
      <c r="N255" s="4">
        <f>COUNTIFS(D:D,D255,F:F,"NOT UPDATED")</f>
        <v>0</v>
      </c>
      <c r="O255" s="4">
        <f>COUNTIF(D:D,D255)</f>
        <v>3</v>
      </c>
    </row>
    <row r="256" spans="1:15" hidden="1" x14ac:dyDescent="0.25">
      <c r="A256" s="4">
        <v>295</v>
      </c>
      <c r="B256" s="4" t="s">
        <v>94</v>
      </c>
      <c r="D256" s="5" t="s">
        <v>271</v>
      </c>
      <c r="E256" s="4" t="s">
        <v>271</v>
      </c>
      <c r="F256" s="4" t="s">
        <v>339</v>
      </c>
      <c r="G256" s="6">
        <v>7566.3</v>
      </c>
      <c r="H256" s="4" t="s">
        <v>15</v>
      </c>
      <c r="I256" s="4" t="s">
        <v>273</v>
      </c>
      <c r="J256" s="6">
        <v>268.39</v>
      </c>
      <c r="K256" s="6" t="str">
        <f>I256&amp;J256</f>
        <v>0202436150U26450X.OC351895X8671268.39</v>
      </c>
      <c r="L256" s="4" t="str">
        <f>IF(COUNTIF(D:D,D256)&gt;1,"D","N")</f>
        <v>D</v>
      </c>
      <c r="M256" s="4">
        <f>COUNTIFS(D:D,D256,F:F,"UPDATED")</f>
        <v>3</v>
      </c>
      <c r="N256" s="4">
        <f>COUNTIFS(D:D,D256,F:F,"NOT UPDATED")</f>
        <v>0</v>
      </c>
      <c r="O256" s="4">
        <f>COUNTIF(D:D,D256)</f>
        <v>3</v>
      </c>
    </row>
    <row r="257" spans="1:15" hidden="1" x14ac:dyDescent="0.25">
      <c r="A257" s="4">
        <v>296</v>
      </c>
      <c r="B257" s="4" t="s">
        <v>94</v>
      </c>
      <c r="D257" s="5" t="s">
        <v>271</v>
      </c>
      <c r="E257" s="4" t="s">
        <v>271</v>
      </c>
      <c r="F257" s="4" t="s">
        <v>339</v>
      </c>
      <c r="G257" s="6">
        <v>7566.3</v>
      </c>
      <c r="H257" s="4" t="s">
        <v>15</v>
      </c>
      <c r="I257" s="4" t="s">
        <v>274</v>
      </c>
      <c r="J257" s="6">
        <v>95.37</v>
      </c>
      <c r="K257" s="6" t="str">
        <f>I257&amp;J257</f>
        <v>0202500750278Q70X.OC356434X867195.37</v>
      </c>
      <c r="L257" s="4" t="str">
        <f>IF(COUNTIF(D:D,D257)&gt;1,"D","N")</f>
        <v>D</v>
      </c>
      <c r="M257" s="4">
        <f>COUNTIFS(D:D,D257,F:F,"UPDATED")</f>
        <v>3</v>
      </c>
      <c r="N257" s="4">
        <f>COUNTIFS(D:D,D257,F:F,"NOT UPDATED")</f>
        <v>0</v>
      </c>
      <c r="O257" s="4">
        <f>COUNTIF(D:D,D257)</f>
        <v>3</v>
      </c>
    </row>
    <row r="258" spans="1:15" x14ac:dyDescent="0.25">
      <c r="A258" s="4">
        <v>151</v>
      </c>
      <c r="B258" s="4" t="s">
        <v>20</v>
      </c>
      <c r="C258" s="7">
        <v>45794</v>
      </c>
      <c r="D258" s="5">
        <v>159245054250518</v>
      </c>
      <c r="E258" s="4" t="e">
        <v>#N/A</v>
      </c>
      <c r="F258" s="4" t="s">
        <v>11</v>
      </c>
      <c r="G258" s="6">
        <v>1463.84</v>
      </c>
      <c r="H258" s="4" t="s">
        <v>15</v>
      </c>
      <c r="I258" s="4" t="s">
        <v>24</v>
      </c>
      <c r="J258" s="6">
        <v>333.7</v>
      </c>
      <c r="K258" s="6" t="str">
        <f>I258&amp;J258</f>
        <v>POC287418X36471/820242340716891333.7</v>
      </c>
      <c r="L258" s="4" t="str">
        <f>IF(COUNTIF(D:D,D258)&gt;1,"D","N")</f>
        <v>D</v>
      </c>
      <c r="M258" s="4">
        <f>COUNTIFS(D:D,D258,F:F,"UPDATED")</f>
        <v>0</v>
      </c>
      <c r="N258" s="4">
        <f>COUNTIFS(D:D,D258,F:F,"NOT UPDATED")</f>
        <v>2</v>
      </c>
      <c r="O258" s="4">
        <f>COUNTIF(D:D,D258)</f>
        <v>2</v>
      </c>
    </row>
    <row r="259" spans="1:15" hidden="1" x14ac:dyDescent="0.25">
      <c r="A259" s="4">
        <v>182</v>
      </c>
      <c r="B259" s="4" t="s">
        <v>94</v>
      </c>
      <c r="C259" s="7">
        <v>45800</v>
      </c>
      <c r="D259" s="5" t="s">
        <v>98</v>
      </c>
      <c r="E259" s="4" t="e">
        <v>#N/A</v>
      </c>
      <c r="F259" s="4" t="s">
        <v>11</v>
      </c>
      <c r="G259" s="6">
        <v>21449.15</v>
      </c>
      <c r="H259" s="4" t="s">
        <v>15</v>
      </c>
      <c r="I259" s="4" t="s">
        <v>99</v>
      </c>
      <c r="J259" s="6">
        <v>69.290000000000006</v>
      </c>
      <c r="K259" s="6" t="str">
        <f>I259&amp;J259</f>
        <v>020223185018K860X00.OC38427X924169.29</v>
      </c>
      <c r="L259" s="4" t="str">
        <f>IF(COUNTIF(D:D,D259)&gt;1,"D","N")</f>
        <v>D</v>
      </c>
      <c r="M259" s="4">
        <f>COUNTIFS(D:D,D259,F:F,"UPDATED")</f>
        <v>0</v>
      </c>
      <c r="N259" s="4">
        <f>COUNTIFS(D:D,D259,F:F,"NOT UPDATED")</f>
        <v>3</v>
      </c>
      <c r="O259" s="4">
        <f>COUNTIF(D:D,D259)</f>
        <v>3</v>
      </c>
    </row>
    <row r="260" spans="1:15" x14ac:dyDescent="0.25">
      <c r="A260" s="4">
        <v>330</v>
      </c>
      <c r="B260" s="4" t="s">
        <v>71</v>
      </c>
      <c r="D260" s="5" t="s">
        <v>72</v>
      </c>
      <c r="E260" s="4" t="e">
        <v>#N/A</v>
      </c>
      <c r="F260" s="4" t="s">
        <v>11</v>
      </c>
      <c r="G260" s="6">
        <v>1463.84</v>
      </c>
      <c r="H260" s="4" t="s">
        <v>15</v>
      </c>
      <c r="I260" s="4" t="s">
        <v>24</v>
      </c>
      <c r="J260" s="6">
        <v>333.7</v>
      </c>
      <c r="K260" s="6" t="str">
        <f>I260&amp;J260</f>
        <v>POC287418X36471/820242340716891333.7</v>
      </c>
      <c r="L260" s="4" t="str">
        <f>IF(COUNTIF(D:D,D260)&gt;1,"D","N")</f>
        <v>D</v>
      </c>
      <c r="M260" s="4">
        <f>COUNTIFS(D:D,D260,F:F,"UPDATED")</f>
        <v>0</v>
      </c>
      <c r="N260" s="4">
        <f>COUNTIFS(D:D,D260,F:F,"NOT UPDATED")</f>
        <v>2</v>
      </c>
      <c r="O260" s="4">
        <f>COUNTIF(D:D,D260)</f>
        <v>2</v>
      </c>
    </row>
    <row r="261" spans="1:15" hidden="1" x14ac:dyDescent="0.25">
      <c r="A261" s="4">
        <v>192</v>
      </c>
      <c r="B261" s="4" t="s">
        <v>94</v>
      </c>
      <c r="C261" s="7">
        <v>45804</v>
      </c>
      <c r="D261" s="5" t="s">
        <v>275</v>
      </c>
      <c r="E261" s="4" t="e">
        <v>#N/A</v>
      </c>
      <c r="F261" s="4" t="s">
        <v>11</v>
      </c>
      <c r="G261" s="6">
        <v>15505.64</v>
      </c>
      <c r="H261" s="4" t="s">
        <v>29</v>
      </c>
      <c r="I261" s="4" t="s">
        <v>276</v>
      </c>
      <c r="J261" s="6">
        <v>-68.650000000000006</v>
      </c>
      <c r="K261" s="6" t="str">
        <f>I261&amp;J261</f>
        <v>02023270502U5940X00.OC151817X2118-68.65</v>
      </c>
      <c r="L261" s="4" t="str">
        <f>IF(COUNTIF(D:D,D261)&gt;1,"D","N")</f>
        <v>N</v>
      </c>
      <c r="M261" s="4">
        <f>COUNTIFS(D:D,D261,F:F,"UPDATED")</f>
        <v>0</v>
      </c>
      <c r="N261" s="4">
        <f>COUNTIFS(D:D,D261,F:F,"NOT UPDATED")</f>
        <v>1</v>
      </c>
      <c r="O261" s="4">
        <f>COUNTIF(D:D,D261)</f>
        <v>1</v>
      </c>
    </row>
    <row r="262" spans="1:15" x14ac:dyDescent="0.25">
      <c r="A262" s="4">
        <v>168</v>
      </c>
      <c r="B262" s="4" t="s">
        <v>20</v>
      </c>
      <c r="C262" s="7">
        <v>45797</v>
      </c>
      <c r="D262" s="5">
        <v>159360094250521</v>
      </c>
      <c r="E262" s="4" t="e">
        <v>#N/A</v>
      </c>
      <c r="F262" s="4" t="s">
        <v>11</v>
      </c>
      <c r="G262" s="6">
        <v>13703</v>
      </c>
      <c r="H262" s="4" t="s">
        <v>15</v>
      </c>
      <c r="I262" s="4" t="s">
        <v>24</v>
      </c>
      <c r="J262" s="6">
        <v>70.97</v>
      </c>
      <c r="K262" s="6" t="str">
        <f>I262&amp;J262</f>
        <v>POC287418X36471/82024234071689170.97</v>
      </c>
      <c r="L262" s="4" t="str">
        <f>IF(COUNTIF(D:D,D262)&gt;1,"D","N")</f>
        <v>N</v>
      </c>
      <c r="M262" s="4">
        <f>COUNTIFS(D:D,D262,F:F,"UPDATED")</f>
        <v>0</v>
      </c>
      <c r="N262" s="4">
        <f>COUNTIFS(D:D,D262,F:F,"NOT UPDATED")</f>
        <v>1</v>
      </c>
      <c r="O262" s="4">
        <f>COUNTIF(D:D,D262)</f>
        <v>1</v>
      </c>
    </row>
    <row r="263" spans="1:15" hidden="1" x14ac:dyDescent="0.25">
      <c r="A263" s="4">
        <v>240</v>
      </c>
      <c r="B263" s="4" t="s">
        <v>94</v>
      </c>
      <c r="C263" s="7">
        <v>45805</v>
      </c>
      <c r="D263" s="5" t="s">
        <v>100</v>
      </c>
      <c r="E263" s="4" t="e">
        <v>#N/A</v>
      </c>
      <c r="F263" s="4" t="s">
        <v>11</v>
      </c>
      <c r="G263" s="6">
        <v>21971.95</v>
      </c>
      <c r="H263" s="4" t="s">
        <v>15</v>
      </c>
      <c r="I263" s="4" t="s">
        <v>101</v>
      </c>
      <c r="J263" s="6">
        <v>163.93</v>
      </c>
      <c r="K263" s="6" t="str">
        <f>I263&amp;J263</f>
        <v>02022320508328D0X00.OC46755X10764163.93</v>
      </c>
      <c r="L263" s="4" t="str">
        <f>IF(COUNTIF(D:D,D263)&gt;1,"D","N")</f>
        <v>D</v>
      </c>
      <c r="M263" s="4">
        <f>COUNTIFS(D:D,D263,F:F,"UPDATED")</f>
        <v>0</v>
      </c>
      <c r="N263" s="4">
        <f>COUNTIFS(D:D,D263,F:F,"NOT UPDATED")</f>
        <v>5</v>
      </c>
      <c r="O263" s="4">
        <f>COUNTIF(D:D,D263)</f>
        <v>5</v>
      </c>
    </row>
    <row r="264" spans="1:15" x14ac:dyDescent="0.25">
      <c r="A264" s="4">
        <v>318</v>
      </c>
      <c r="B264" s="4" t="s">
        <v>71</v>
      </c>
      <c r="D264" s="5" t="s">
        <v>73</v>
      </c>
      <c r="E264" s="4" t="e">
        <v>#N/A</v>
      </c>
      <c r="F264" s="4" t="s">
        <v>11</v>
      </c>
      <c r="G264" s="6">
        <v>13703</v>
      </c>
      <c r="H264" s="4" t="s">
        <v>15</v>
      </c>
      <c r="I264" s="4" t="s">
        <v>24</v>
      </c>
      <c r="J264" s="6">
        <v>70.97</v>
      </c>
      <c r="K264" s="6" t="str">
        <f>I264&amp;J264</f>
        <v>POC287418X36471/82024234071689170.97</v>
      </c>
      <c r="L264" s="4" t="str">
        <f>IF(COUNTIF(D:D,D264)&gt;1,"D","N")</f>
        <v>N</v>
      </c>
      <c r="M264" s="4">
        <f>COUNTIFS(D:D,D264,F:F,"UPDATED")</f>
        <v>0</v>
      </c>
      <c r="N264" s="4">
        <f>COUNTIFS(D:D,D264,F:F,"NOT UPDATED")</f>
        <v>1</v>
      </c>
      <c r="O264" s="4">
        <f>COUNTIF(D:D,D264)</f>
        <v>1</v>
      </c>
    </row>
    <row r="265" spans="1:15" hidden="1" x14ac:dyDescent="0.25">
      <c r="A265" s="4">
        <v>242</v>
      </c>
      <c r="B265" s="4" t="s">
        <v>94</v>
      </c>
      <c r="C265" s="7">
        <v>45805</v>
      </c>
      <c r="D265" s="5" t="s">
        <v>100</v>
      </c>
      <c r="E265" s="4" t="e">
        <v>#N/A</v>
      </c>
      <c r="F265" s="4" t="s">
        <v>11</v>
      </c>
      <c r="G265" s="6">
        <v>21971.95</v>
      </c>
      <c r="H265" s="4" t="s">
        <v>29</v>
      </c>
      <c r="I265" s="4" t="s">
        <v>277</v>
      </c>
      <c r="J265" s="6">
        <v>-97.27</v>
      </c>
      <c r="K265" s="6" t="str">
        <f t="shared" ref="K259:K321" si="1">I265&amp;J265</f>
        <v>020250455086N170X00.OC374347X46862-97.27</v>
      </c>
      <c r="L265" s="4" t="str">
        <f>IF(COUNTIF(D:D,D265)&gt;1,"D","N")</f>
        <v>D</v>
      </c>
      <c r="M265" s="4">
        <f>COUNTIFS(D:D,D265,F:F,"UPDATED")</f>
        <v>0</v>
      </c>
      <c r="N265" s="4">
        <f>COUNTIFS(D:D,D265,F:F,"NOT UPDATED")</f>
        <v>5</v>
      </c>
      <c r="O265" s="4">
        <f>COUNTIF(D:D,D265)</f>
        <v>5</v>
      </c>
    </row>
    <row r="266" spans="1:15" hidden="1" x14ac:dyDescent="0.25">
      <c r="A266" s="4">
        <v>243</v>
      </c>
      <c r="B266" s="4" t="s">
        <v>94</v>
      </c>
      <c r="C266" s="7">
        <v>45805</v>
      </c>
      <c r="D266" s="5" t="s">
        <v>100</v>
      </c>
      <c r="E266" s="4" t="e">
        <v>#N/A</v>
      </c>
      <c r="F266" s="4" t="s">
        <v>11</v>
      </c>
      <c r="G266" s="6">
        <v>21971.95</v>
      </c>
      <c r="H266" s="4" t="s">
        <v>194</v>
      </c>
      <c r="I266" s="4" t="s">
        <v>278</v>
      </c>
      <c r="J266" s="6">
        <v>-21.61</v>
      </c>
      <c r="K266" s="6" t="str">
        <f t="shared" si="1"/>
        <v>0202506250P72190X00.OC383783X34830-21.61</v>
      </c>
      <c r="L266" s="4" t="str">
        <f>IF(COUNTIF(D:D,D266)&gt;1,"D","N")</f>
        <v>D</v>
      </c>
      <c r="M266" s="4">
        <f>COUNTIFS(D:D,D266,F:F,"UPDATED")</f>
        <v>0</v>
      </c>
      <c r="N266" s="4">
        <f>COUNTIFS(D:D,D266,F:F,"NOT UPDATED")</f>
        <v>5</v>
      </c>
      <c r="O266" s="4">
        <f>COUNTIF(D:D,D266)</f>
        <v>5</v>
      </c>
    </row>
    <row r="267" spans="1:15" hidden="1" x14ac:dyDescent="0.25">
      <c r="A267" s="4">
        <v>238</v>
      </c>
      <c r="B267" s="4" t="s">
        <v>94</v>
      </c>
      <c r="C267" s="7">
        <v>45805</v>
      </c>
      <c r="D267" s="5" t="s">
        <v>279</v>
      </c>
      <c r="E267" s="4" t="e">
        <v>#N/A</v>
      </c>
      <c r="F267" s="4" t="s">
        <v>11</v>
      </c>
      <c r="G267" s="6">
        <v>28460.67</v>
      </c>
      <c r="H267" s="4" t="s">
        <v>194</v>
      </c>
      <c r="I267" s="4" t="s">
        <v>280</v>
      </c>
      <c r="J267" s="6">
        <v>-31.7</v>
      </c>
      <c r="K267" s="6" t="str">
        <f t="shared" si="1"/>
        <v>020250725025Y470X00.OC388436X44217-31.7</v>
      </c>
      <c r="L267" s="4" t="str">
        <f>IF(COUNTIF(D:D,D267)&gt;1,"D","N")</f>
        <v>N</v>
      </c>
      <c r="M267" s="4">
        <f>COUNTIFS(D:D,D267,F:F,"UPDATED")</f>
        <v>0</v>
      </c>
      <c r="N267" s="4">
        <f>COUNTIFS(D:D,D267,F:F,"NOT UPDATED")</f>
        <v>1</v>
      </c>
      <c r="O267" s="4">
        <f>COUNTIF(D:D,D267)</f>
        <v>1</v>
      </c>
    </row>
    <row r="268" spans="1:15" hidden="1" x14ac:dyDescent="0.25">
      <c r="A268" s="4">
        <v>251</v>
      </c>
      <c r="B268" s="4" t="s">
        <v>94</v>
      </c>
      <c r="C268" s="7">
        <v>45806</v>
      </c>
      <c r="D268" s="5" t="s">
        <v>281</v>
      </c>
      <c r="E268" s="4" t="e">
        <v>#N/A</v>
      </c>
      <c r="F268" s="4" t="s">
        <v>11</v>
      </c>
      <c r="G268" s="6">
        <v>25647.48</v>
      </c>
      <c r="H268" s="4" t="s">
        <v>29</v>
      </c>
      <c r="I268" s="4" t="s">
        <v>282</v>
      </c>
      <c r="J268" s="6">
        <v>-210.9</v>
      </c>
      <c r="K268" s="6" t="str">
        <f t="shared" si="1"/>
        <v>0202503650245Z70X00.OC370265X42383-210.9</v>
      </c>
      <c r="L268" s="4" t="str">
        <f>IF(COUNTIF(D:D,D268)&gt;1,"D","N")</f>
        <v>D</v>
      </c>
      <c r="M268" s="4">
        <f>COUNTIFS(D:D,D268,F:F,"UPDATED")</f>
        <v>0</v>
      </c>
      <c r="N268" s="4">
        <f>COUNTIFS(D:D,D268,F:F,"NOT UPDATED")</f>
        <v>2</v>
      </c>
      <c r="O268" s="4">
        <f>COUNTIF(D:D,D268)</f>
        <v>2</v>
      </c>
    </row>
    <row r="269" spans="1:15" hidden="1" x14ac:dyDescent="0.25">
      <c r="A269" s="4">
        <v>250</v>
      </c>
      <c r="B269" s="4" t="s">
        <v>94</v>
      </c>
      <c r="C269" s="7">
        <v>45806</v>
      </c>
      <c r="D269" s="5" t="s">
        <v>281</v>
      </c>
      <c r="E269" s="4" t="e">
        <v>#N/A</v>
      </c>
      <c r="F269" s="4" t="s">
        <v>11</v>
      </c>
      <c r="G269" s="6">
        <v>25647.48</v>
      </c>
      <c r="H269" s="4" t="s">
        <v>194</v>
      </c>
      <c r="I269" s="4" t="s">
        <v>283</v>
      </c>
      <c r="J269" s="6">
        <v>-0.78</v>
      </c>
      <c r="K269" s="6" t="str">
        <f t="shared" si="1"/>
        <v>0202508050T37600X00.OC393003X17641-0.78</v>
      </c>
      <c r="L269" s="4" t="str">
        <f>IF(COUNTIF(D:D,D269)&gt;1,"D","N")</f>
        <v>D</v>
      </c>
      <c r="M269" s="4">
        <f>COUNTIFS(D:D,D269,F:F,"UPDATED")</f>
        <v>0</v>
      </c>
      <c r="N269" s="4">
        <f>COUNTIFS(D:D,D269,F:F,"NOT UPDATED")</f>
        <v>2</v>
      </c>
      <c r="O269" s="4">
        <f>COUNTIF(D:D,D269)</f>
        <v>2</v>
      </c>
    </row>
    <row r="270" spans="1:15" hidden="1" x14ac:dyDescent="0.25">
      <c r="A270" s="4">
        <v>252</v>
      </c>
      <c r="B270" s="4" t="s">
        <v>94</v>
      </c>
      <c r="C270" s="7">
        <v>45806</v>
      </c>
      <c r="D270" s="5" t="s">
        <v>284</v>
      </c>
      <c r="E270" s="4" t="s">
        <v>284</v>
      </c>
      <c r="F270" s="4" t="s">
        <v>339</v>
      </c>
      <c r="G270" s="6">
        <v>7154.47</v>
      </c>
      <c r="H270" s="4" t="s">
        <v>29</v>
      </c>
      <c r="I270" s="4" t="s">
        <v>285</v>
      </c>
      <c r="J270" s="6">
        <v>-462.35</v>
      </c>
      <c r="K270" s="6" t="str">
        <f t="shared" si="1"/>
        <v>02024260505484V0X00.OC300185X36267-462.35</v>
      </c>
      <c r="L270" s="4" t="str">
        <f>IF(COUNTIF(D:D,D270)&gt;1,"D","N")</f>
        <v>D</v>
      </c>
      <c r="M270" s="4">
        <f>COUNTIFS(D:D,D270,F:F,"UPDATED")</f>
        <v>6</v>
      </c>
      <c r="N270" s="4">
        <f>COUNTIFS(D:D,D270,F:F,"NOT UPDATED")</f>
        <v>0</v>
      </c>
      <c r="O270" s="4">
        <f>COUNTIF(D:D,D270)</f>
        <v>6</v>
      </c>
    </row>
    <row r="271" spans="1:15" hidden="1" x14ac:dyDescent="0.25">
      <c r="A271" s="4">
        <v>257</v>
      </c>
      <c r="B271" s="4" t="s">
        <v>94</v>
      </c>
      <c r="C271" s="7">
        <v>45806</v>
      </c>
      <c r="D271" s="5" t="s">
        <v>284</v>
      </c>
      <c r="E271" s="4" t="s">
        <v>284</v>
      </c>
      <c r="F271" s="4" t="s">
        <v>339</v>
      </c>
      <c r="G271" s="6">
        <v>7154.47</v>
      </c>
      <c r="H271" s="4" t="s">
        <v>29</v>
      </c>
      <c r="I271" s="4" t="s">
        <v>286</v>
      </c>
      <c r="J271" s="6">
        <v>-157.65</v>
      </c>
      <c r="K271" s="6" t="str">
        <f t="shared" si="1"/>
        <v>0202506050210G50X00.OC383874X26902-157.65</v>
      </c>
      <c r="L271" s="4" t="str">
        <f>IF(COUNTIF(D:D,D271)&gt;1,"D","N")</f>
        <v>D</v>
      </c>
      <c r="M271" s="4">
        <f>COUNTIFS(D:D,D271,F:F,"UPDATED")</f>
        <v>6</v>
      </c>
      <c r="N271" s="4">
        <f>COUNTIFS(D:D,D271,F:F,"NOT UPDATED")</f>
        <v>0</v>
      </c>
      <c r="O271" s="4">
        <f>COUNTIF(D:D,D271)</f>
        <v>6</v>
      </c>
    </row>
    <row r="272" spans="1:15" hidden="1" x14ac:dyDescent="0.25">
      <c r="A272" s="4">
        <v>254</v>
      </c>
      <c r="B272" s="4" t="s">
        <v>94</v>
      </c>
      <c r="C272" s="7">
        <v>45806</v>
      </c>
      <c r="D272" s="5" t="s">
        <v>284</v>
      </c>
      <c r="E272" s="4" t="s">
        <v>284</v>
      </c>
      <c r="F272" s="4" t="s">
        <v>339</v>
      </c>
      <c r="G272" s="6">
        <v>7154.47</v>
      </c>
      <c r="H272" s="4" t="s">
        <v>29</v>
      </c>
      <c r="I272" s="4" t="s">
        <v>287</v>
      </c>
      <c r="J272" s="6">
        <v>-291.39</v>
      </c>
      <c r="K272" s="6" t="str">
        <f t="shared" si="1"/>
        <v>0202506250P23120X00.OC383610X47993-291.39</v>
      </c>
      <c r="L272" s="4" t="str">
        <f>IF(COUNTIF(D:D,D272)&gt;1,"D","N")</f>
        <v>D</v>
      </c>
      <c r="M272" s="4">
        <f>COUNTIFS(D:D,D272,F:F,"UPDATED")</f>
        <v>6</v>
      </c>
      <c r="N272" s="4">
        <f>COUNTIFS(D:D,D272,F:F,"NOT UPDATED")</f>
        <v>0</v>
      </c>
      <c r="O272" s="4">
        <f>COUNTIF(D:D,D272)</f>
        <v>6</v>
      </c>
    </row>
    <row r="273" spans="1:15" hidden="1" x14ac:dyDescent="0.25">
      <c r="A273" s="4">
        <v>253</v>
      </c>
      <c r="B273" s="4" t="s">
        <v>94</v>
      </c>
      <c r="C273" s="7">
        <v>45806</v>
      </c>
      <c r="D273" s="5" t="s">
        <v>284</v>
      </c>
      <c r="E273" s="4" t="s">
        <v>284</v>
      </c>
      <c r="F273" s="4" t="s">
        <v>339</v>
      </c>
      <c r="G273" s="6">
        <v>7154.47</v>
      </c>
      <c r="H273" s="4" t="s">
        <v>194</v>
      </c>
      <c r="I273" s="4" t="s">
        <v>288</v>
      </c>
      <c r="J273" s="6">
        <v>-33.51</v>
      </c>
      <c r="K273" s="6" t="str">
        <f t="shared" si="1"/>
        <v>0202507750886J40X01.OC390717X16089-33.51</v>
      </c>
      <c r="L273" s="4" t="str">
        <f>IF(COUNTIF(D:D,D273)&gt;1,"D","N")</f>
        <v>D</v>
      </c>
      <c r="M273" s="4">
        <f>COUNTIFS(D:D,D273,F:F,"UPDATED")</f>
        <v>6</v>
      </c>
      <c r="N273" s="4">
        <f>COUNTIFS(D:D,D273,F:F,"NOT UPDATED")</f>
        <v>0</v>
      </c>
      <c r="O273" s="4">
        <f>COUNTIF(D:D,D273)</f>
        <v>6</v>
      </c>
    </row>
    <row r="274" spans="1:15" hidden="1" x14ac:dyDescent="0.25">
      <c r="A274" s="4">
        <v>255</v>
      </c>
      <c r="B274" s="4" t="s">
        <v>94</v>
      </c>
      <c r="C274" s="7">
        <v>45806</v>
      </c>
      <c r="D274" s="5" t="s">
        <v>284</v>
      </c>
      <c r="E274" s="4" t="s">
        <v>284</v>
      </c>
      <c r="F274" s="4" t="s">
        <v>339</v>
      </c>
      <c r="G274" s="6">
        <v>7154.47</v>
      </c>
      <c r="H274" s="4" t="s">
        <v>194</v>
      </c>
      <c r="I274" s="4" t="s">
        <v>289</v>
      </c>
      <c r="J274" s="6">
        <v>-5.6</v>
      </c>
      <c r="K274" s="6" t="str">
        <f t="shared" si="1"/>
        <v>02025126507438X0X00.OC416146X50115-5.6</v>
      </c>
      <c r="L274" s="4" t="str">
        <f>IF(COUNTIF(D:D,D274)&gt;1,"D","N")</f>
        <v>D</v>
      </c>
      <c r="M274" s="4">
        <f>COUNTIFS(D:D,D274,F:F,"UPDATED")</f>
        <v>6</v>
      </c>
      <c r="N274" s="4">
        <f>COUNTIFS(D:D,D274,F:F,"NOT UPDATED")</f>
        <v>0</v>
      </c>
      <c r="O274" s="4">
        <f>COUNTIF(D:D,D274)</f>
        <v>6</v>
      </c>
    </row>
    <row r="275" spans="1:15" hidden="1" x14ac:dyDescent="0.25">
      <c r="A275" s="4">
        <v>256</v>
      </c>
      <c r="B275" s="4" t="s">
        <v>94</v>
      </c>
      <c r="C275" s="7">
        <v>45806</v>
      </c>
      <c r="D275" s="5" t="s">
        <v>284</v>
      </c>
      <c r="E275" s="4" t="s">
        <v>284</v>
      </c>
      <c r="F275" s="4" t="s">
        <v>339</v>
      </c>
      <c r="G275" s="6">
        <v>7154.47</v>
      </c>
      <c r="H275" s="4" t="s">
        <v>29</v>
      </c>
      <c r="I275" s="4" t="s">
        <v>290</v>
      </c>
      <c r="J275" s="6">
        <v>-295.93</v>
      </c>
      <c r="K275" s="6" t="str">
        <f t="shared" si="1"/>
        <v>0202513950X30020X00.OC422822X5488-295.93</v>
      </c>
      <c r="L275" s="4" t="str">
        <f>IF(COUNTIF(D:D,D275)&gt;1,"D","N")</f>
        <v>D</v>
      </c>
      <c r="M275" s="4">
        <f>COUNTIFS(D:D,D275,F:F,"UPDATED")</f>
        <v>6</v>
      </c>
      <c r="N275" s="4">
        <f>COUNTIFS(D:D,D275,F:F,"NOT UPDATED")</f>
        <v>0</v>
      </c>
      <c r="O275" s="4">
        <f>COUNTIF(D:D,D275)</f>
        <v>6</v>
      </c>
    </row>
    <row r="276" spans="1:15" hidden="1" x14ac:dyDescent="0.25">
      <c r="A276" s="4">
        <v>193</v>
      </c>
      <c r="B276" s="4" t="s">
        <v>94</v>
      </c>
      <c r="C276" s="7">
        <v>45804</v>
      </c>
      <c r="D276" s="5" t="s">
        <v>291</v>
      </c>
      <c r="E276" s="4" t="e">
        <v>#N/A</v>
      </c>
      <c r="F276" s="4" t="s">
        <v>11</v>
      </c>
      <c r="G276" s="6">
        <v>0</v>
      </c>
      <c r="H276" s="4" t="s">
        <v>194</v>
      </c>
      <c r="I276" s="4" t="s">
        <v>292</v>
      </c>
      <c r="J276" s="6">
        <v>-30.61</v>
      </c>
      <c r="K276" s="6" t="str">
        <f t="shared" si="1"/>
        <v>02024326509897G0X01.OC334437X8534-30.61</v>
      </c>
      <c r="L276" s="4" t="str">
        <f>IF(COUNTIF(D:D,D276)&gt;1,"D","N")</f>
        <v>N</v>
      </c>
      <c r="M276" s="4">
        <f>COUNTIFS(D:D,D276,F:F,"UPDATED")</f>
        <v>0</v>
      </c>
      <c r="N276" s="4">
        <f>COUNTIFS(D:D,D276,F:F,"NOT UPDATED")</f>
        <v>1</v>
      </c>
      <c r="O276" s="4">
        <f>COUNTIF(D:D,D276)</f>
        <v>1</v>
      </c>
    </row>
    <row r="277" spans="1:15" hidden="1" x14ac:dyDescent="0.25">
      <c r="A277" s="4">
        <v>264</v>
      </c>
      <c r="B277" s="4" t="s">
        <v>94</v>
      </c>
      <c r="C277" s="7">
        <v>45807</v>
      </c>
      <c r="D277" s="5" t="s">
        <v>293</v>
      </c>
      <c r="E277" s="4" t="e">
        <v>#N/A</v>
      </c>
      <c r="F277" s="4" t="s">
        <v>11</v>
      </c>
      <c r="G277" s="6">
        <v>24861.13</v>
      </c>
      <c r="H277" s="4" t="s">
        <v>29</v>
      </c>
      <c r="I277" s="4" t="s">
        <v>294</v>
      </c>
      <c r="J277" s="6">
        <v>76.88</v>
      </c>
      <c r="K277" s="6" t="str">
        <f t="shared" si="1"/>
        <v>02024050505U1360X01.OC196806X465376.88</v>
      </c>
      <c r="L277" s="4" t="str">
        <f>IF(COUNTIF(D:D,D277)&gt;1,"D","N")</f>
        <v>N</v>
      </c>
      <c r="M277" s="4">
        <f>COUNTIFS(D:D,D277,F:F,"UPDATED")</f>
        <v>0</v>
      </c>
      <c r="N277" s="4">
        <f>COUNTIFS(D:D,D277,F:F,"NOT UPDATED")</f>
        <v>1</v>
      </c>
      <c r="O277" s="4">
        <f>COUNTIF(D:D,D277)</f>
        <v>1</v>
      </c>
    </row>
    <row r="278" spans="1:15" hidden="1" x14ac:dyDescent="0.25">
      <c r="A278" s="4">
        <v>263</v>
      </c>
      <c r="B278" s="4" t="s">
        <v>94</v>
      </c>
      <c r="C278" s="7">
        <v>45807</v>
      </c>
      <c r="D278" s="5" t="s">
        <v>295</v>
      </c>
      <c r="E278" s="4" t="e">
        <v>#N/A</v>
      </c>
      <c r="F278" s="4" t="s">
        <v>11</v>
      </c>
      <c r="G278" s="6">
        <v>7842.53</v>
      </c>
      <c r="H278" s="4" t="s">
        <v>29</v>
      </c>
      <c r="I278" s="4" t="s">
        <v>296</v>
      </c>
      <c r="J278" s="6">
        <v>-216.1</v>
      </c>
      <c r="K278" s="6" t="str">
        <f t="shared" si="1"/>
        <v>02025078500Z6580X00.OC391950X30831-216.1</v>
      </c>
      <c r="L278" s="4" t="str">
        <f>IF(COUNTIF(D:D,D278)&gt;1,"D","N")</f>
        <v>N</v>
      </c>
      <c r="M278" s="4">
        <f>COUNTIFS(D:D,D278,F:F,"UPDATED")</f>
        <v>0</v>
      </c>
      <c r="N278" s="4">
        <f>COUNTIFS(D:D,D278,F:F,"NOT UPDATED")</f>
        <v>1</v>
      </c>
      <c r="O278" s="4">
        <f>COUNTIF(D:D,D278)</f>
        <v>1</v>
      </c>
    </row>
    <row r="279" spans="1:15" hidden="1" x14ac:dyDescent="0.25">
      <c r="A279" s="4">
        <v>258</v>
      </c>
      <c r="B279" s="4" t="s">
        <v>94</v>
      </c>
      <c r="C279" s="7">
        <v>45806</v>
      </c>
      <c r="D279" s="5" t="s">
        <v>297</v>
      </c>
      <c r="E279" s="4" t="e">
        <v>#N/A</v>
      </c>
      <c r="F279" s="4" t="s">
        <v>11</v>
      </c>
      <c r="G279" s="6">
        <v>0</v>
      </c>
      <c r="H279" s="4" t="s">
        <v>29</v>
      </c>
      <c r="I279" s="4" t="s">
        <v>298</v>
      </c>
      <c r="J279" s="6">
        <v>-219.29</v>
      </c>
      <c r="K279" s="6" t="str">
        <f t="shared" si="1"/>
        <v>0202504250L42730X00.OC373062X25387-219.29</v>
      </c>
      <c r="L279" s="4" t="str">
        <f>IF(COUNTIF(D:D,D279)&gt;1,"D","N")</f>
        <v>N</v>
      </c>
      <c r="M279" s="4">
        <f>COUNTIFS(D:D,D279,F:F,"UPDATED")</f>
        <v>0</v>
      </c>
      <c r="N279" s="4">
        <f>COUNTIFS(D:D,D279,F:F,"NOT UPDATED")</f>
        <v>1</v>
      </c>
      <c r="O279" s="4">
        <f>COUNTIF(D:D,D279)</f>
        <v>1</v>
      </c>
    </row>
    <row r="280" spans="1:15" hidden="1" x14ac:dyDescent="0.25">
      <c r="A280" s="4">
        <v>167</v>
      </c>
      <c r="B280" s="4" t="s">
        <v>74</v>
      </c>
      <c r="C280" s="7">
        <v>45797</v>
      </c>
      <c r="D280" s="5" t="s">
        <v>102</v>
      </c>
      <c r="E280" s="4" t="s">
        <v>102</v>
      </c>
      <c r="F280" s="4" t="s">
        <v>339</v>
      </c>
      <c r="G280" s="6">
        <v>69.12</v>
      </c>
      <c r="H280" s="4" t="s">
        <v>15</v>
      </c>
      <c r="I280" s="4" t="s">
        <v>82</v>
      </c>
      <c r="J280" s="6">
        <v>66.94</v>
      </c>
      <c r="K280" s="6" t="str">
        <f t="shared" si="1"/>
        <v>293902X45966.94</v>
      </c>
      <c r="L280" s="4" t="str">
        <f>IF(COUNTIF(D:D,D280)&gt;1,"D","N")</f>
        <v>N</v>
      </c>
      <c r="M280" s="4">
        <f>COUNTIFS(D:D,D280,F:F,"UPDATED")</f>
        <v>1</v>
      </c>
      <c r="N280" s="4">
        <f>COUNTIFS(D:D,D280,F:F,"NOT UPDATED")</f>
        <v>0</v>
      </c>
      <c r="O280" s="4">
        <f>COUNTIF(D:D,D280)</f>
        <v>1</v>
      </c>
    </row>
    <row r="281" spans="1:15" hidden="1" x14ac:dyDescent="0.25">
      <c r="A281" s="4">
        <v>13</v>
      </c>
      <c r="B281" s="4" t="s">
        <v>20</v>
      </c>
      <c r="C281" s="7">
        <v>45780</v>
      </c>
      <c r="D281" s="5" t="s">
        <v>103</v>
      </c>
      <c r="E281" s="4" t="e">
        <v>#N/A</v>
      </c>
      <c r="F281" s="4" t="s">
        <v>11</v>
      </c>
      <c r="G281" s="6">
        <v>0</v>
      </c>
      <c r="H281" s="4" t="s">
        <v>15</v>
      </c>
      <c r="I281" s="4" t="s">
        <v>21</v>
      </c>
      <c r="J281" s="6">
        <v>20.309999999999999</v>
      </c>
      <c r="K281" s="6" t="str">
        <f t="shared" si="1"/>
        <v>POC219622X3353/82024085101727120.31</v>
      </c>
      <c r="L281" s="4" t="str">
        <f>IF(COUNTIF(D:D,D281)&gt;1,"D","N")</f>
        <v>D</v>
      </c>
      <c r="M281" s="4">
        <f>COUNTIFS(D:D,D281,F:F,"UPDATED")</f>
        <v>0</v>
      </c>
      <c r="N281" s="4">
        <f>COUNTIFS(D:D,D281,F:F,"NOT UPDATED")</f>
        <v>2</v>
      </c>
      <c r="O281" s="4">
        <f>COUNTIF(D:D,D281)</f>
        <v>2</v>
      </c>
    </row>
    <row r="282" spans="1:15" hidden="1" x14ac:dyDescent="0.25">
      <c r="A282" s="4">
        <v>12</v>
      </c>
      <c r="B282" s="4" t="s">
        <v>20</v>
      </c>
      <c r="C282" s="7">
        <v>45780</v>
      </c>
      <c r="D282" s="5" t="s">
        <v>103</v>
      </c>
      <c r="E282" s="4" t="e">
        <v>#N/A</v>
      </c>
      <c r="F282" s="4" t="s">
        <v>11</v>
      </c>
      <c r="G282" s="6">
        <v>0</v>
      </c>
      <c r="H282" s="4" t="s">
        <v>108</v>
      </c>
      <c r="I282" s="4" t="s">
        <v>299</v>
      </c>
      <c r="J282" s="6">
        <v>28.18</v>
      </c>
      <c r="K282" s="6" t="str">
        <f t="shared" si="1"/>
        <v>POC147780X3353/82023258000680728.18</v>
      </c>
      <c r="L282" s="4" t="str">
        <f>IF(COUNTIF(D:D,D282)&gt;1,"D","N")</f>
        <v>D</v>
      </c>
      <c r="M282" s="4">
        <f>COUNTIFS(D:D,D282,F:F,"UPDATED")</f>
        <v>0</v>
      </c>
      <c r="N282" s="4">
        <f>COUNTIFS(D:D,D282,F:F,"NOT UPDATED")</f>
        <v>2</v>
      </c>
      <c r="O282" s="4">
        <f>COUNTIF(D:D,D282)</f>
        <v>2</v>
      </c>
    </row>
    <row r="283" spans="1:15" hidden="1" x14ac:dyDescent="0.25">
      <c r="A283" s="4">
        <v>14</v>
      </c>
      <c r="B283" s="4" t="s">
        <v>20</v>
      </c>
      <c r="C283" s="7">
        <v>45781</v>
      </c>
      <c r="D283" s="5" t="s">
        <v>104</v>
      </c>
      <c r="E283" s="4" t="e">
        <v>#N/A</v>
      </c>
      <c r="F283" s="4" t="s">
        <v>11</v>
      </c>
      <c r="G283" s="6">
        <v>0</v>
      </c>
      <c r="H283" s="4" t="s">
        <v>15</v>
      </c>
      <c r="I283" s="4" t="s">
        <v>22</v>
      </c>
      <c r="J283" s="6">
        <v>31.05</v>
      </c>
      <c r="K283" s="6" t="str">
        <f t="shared" si="1"/>
        <v>POC320012X19134/82024299042303431.05</v>
      </c>
      <c r="L283" s="4" t="str">
        <f>IF(COUNTIF(D:D,D283)&gt;1,"D","N")</f>
        <v>D</v>
      </c>
      <c r="M283" s="4">
        <f>COUNTIFS(D:D,D283,F:F,"UPDATED")</f>
        <v>0</v>
      </c>
      <c r="N283" s="4">
        <f>COUNTIFS(D:D,D283,F:F,"NOT UPDATED")</f>
        <v>3</v>
      </c>
      <c r="O283" s="4">
        <f>COUNTIF(D:D,D283)</f>
        <v>3</v>
      </c>
    </row>
    <row r="284" spans="1:15" hidden="1" x14ac:dyDescent="0.25">
      <c r="A284" s="4">
        <v>15</v>
      </c>
      <c r="B284" s="4" t="s">
        <v>20</v>
      </c>
      <c r="C284" s="7">
        <v>45781</v>
      </c>
      <c r="D284" s="5" t="s">
        <v>104</v>
      </c>
      <c r="E284" s="4" t="e">
        <v>#N/A</v>
      </c>
      <c r="F284" s="4" t="s">
        <v>11</v>
      </c>
      <c r="G284" s="6">
        <v>0</v>
      </c>
      <c r="H284" s="4" t="s">
        <v>15</v>
      </c>
      <c r="I284" s="4" t="s">
        <v>22</v>
      </c>
      <c r="J284" s="6">
        <v>302.3</v>
      </c>
      <c r="K284" s="6" t="str">
        <f t="shared" si="1"/>
        <v>POC320012X19134/820242990423034302.3</v>
      </c>
      <c r="L284" s="4" t="str">
        <f>IF(COUNTIF(D:D,D284)&gt;1,"D","N")</f>
        <v>D</v>
      </c>
      <c r="M284" s="4">
        <f>COUNTIFS(D:D,D284,F:F,"UPDATED")</f>
        <v>0</v>
      </c>
      <c r="N284" s="4">
        <f>COUNTIFS(D:D,D284,F:F,"NOT UPDATED")</f>
        <v>3</v>
      </c>
      <c r="O284" s="4">
        <f>COUNTIF(D:D,D284)</f>
        <v>3</v>
      </c>
    </row>
    <row r="285" spans="1:15" hidden="1" x14ac:dyDescent="0.25">
      <c r="A285" s="4">
        <v>16</v>
      </c>
      <c r="B285" s="4" t="s">
        <v>20</v>
      </c>
      <c r="C285" s="7">
        <v>45781</v>
      </c>
      <c r="D285" s="5" t="s">
        <v>104</v>
      </c>
      <c r="E285" s="4" t="e">
        <v>#N/A</v>
      </c>
      <c r="F285" s="4" t="s">
        <v>11</v>
      </c>
      <c r="G285" s="6">
        <v>0</v>
      </c>
      <c r="H285" s="4" t="s">
        <v>15</v>
      </c>
      <c r="I285" s="4" t="s">
        <v>22</v>
      </c>
      <c r="J285" s="6">
        <v>196.66</v>
      </c>
      <c r="K285" s="6" t="str">
        <f t="shared" si="1"/>
        <v>POC320012X19134/820242990423034196.66</v>
      </c>
      <c r="L285" s="4" t="str">
        <f>IF(COUNTIF(D:D,D285)&gt;1,"D","N")</f>
        <v>D</v>
      </c>
      <c r="M285" s="4">
        <f>COUNTIFS(D:D,D285,F:F,"UPDATED")</f>
        <v>0</v>
      </c>
      <c r="N285" s="4">
        <f>COUNTIFS(D:D,D285,F:F,"NOT UPDATED")</f>
        <v>3</v>
      </c>
      <c r="O285" s="4">
        <f>COUNTIF(D:D,D285)</f>
        <v>3</v>
      </c>
    </row>
    <row r="286" spans="1:15" hidden="1" x14ac:dyDescent="0.25">
      <c r="A286" s="4">
        <v>152</v>
      </c>
      <c r="B286" s="4" t="s">
        <v>20</v>
      </c>
      <c r="C286" s="7">
        <v>45794</v>
      </c>
      <c r="D286" s="5" t="s">
        <v>105</v>
      </c>
      <c r="E286" s="4" t="e">
        <v>#N/A</v>
      </c>
      <c r="F286" s="4" t="s">
        <v>11</v>
      </c>
      <c r="G286" s="6">
        <v>0</v>
      </c>
      <c r="H286" s="4" t="s">
        <v>15</v>
      </c>
      <c r="I286" s="4" t="s">
        <v>23</v>
      </c>
      <c r="J286" s="6">
        <v>3.23</v>
      </c>
      <c r="K286" s="6" t="str">
        <f t="shared" si="1"/>
        <v>POC233854X19134/8202411700191383.23</v>
      </c>
      <c r="L286" s="4" t="str">
        <f>IF(COUNTIF(D:D,D286)&gt;1,"D","N")</f>
        <v>N</v>
      </c>
      <c r="M286" s="4">
        <f>COUNTIFS(D:D,D286,F:F,"UPDATED")</f>
        <v>0</v>
      </c>
      <c r="N286" s="4">
        <f>COUNTIFS(D:D,D286,F:F,"NOT UPDATED")</f>
        <v>1</v>
      </c>
      <c r="O286" s="4">
        <f>COUNTIF(D:D,D286)</f>
        <v>1</v>
      </c>
    </row>
    <row r="287" spans="1:15" hidden="1" x14ac:dyDescent="0.25">
      <c r="A287" s="4">
        <v>185</v>
      </c>
      <c r="B287" s="4" t="s">
        <v>20</v>
      </c>
      <c r="C287" s="7">
        <v>45800</v>
      </c>
      <c r="D287" s="5" t="s">
        <v>106</v>
      </c>
      <c r="E287" s="4" t="e">
        <v>#N/A</v>
      </c>
      <c r="F287" s="4" t="s">
        <v>11</v>
      </c>
      <c r="G287" s="6">
        <v>0</v>
      </c>
      <c r="H287" s="4" t="s">
        <v>15</v>
      </c>
      <c r="I287" s="4" t="s">
        <v>26</v>
      </c>
      <c r="J287" s="6">
        <v>12.61</v>
      </c>
      <c r="K287" s="6" t="str">
        <f t="shared" si="1"/>
        <v>POC363356X46020/82025022015170512.61</v>
      </c>
      <c r="L287" s="4" t="str">
        <f>IF(COUNTIF(D:D,D287)&gt;1,"D","N")</f>
        <v>N</v>
      </c>
      <c r="M287" s="4">
        <f>COUNTIFS(D:D,D287,F:F,"UPDATED")</f>
        <v>0</v>
      </c>
      <c r="N287" s="4">
        <f>COUNTIFS(D:D,D287,F:F,"NOT UPDATED")</f>
        <v>1</v>
      </c>
      <c r="O287" s="4">
        <f>COUNTIF(D:D,D287)</f>
        <v>1</v>
      </c>
    </row>
    <row r="288" spans="1:15" hidden="1" x14ac:dyDescent="0.25">
      <c r="A288" s="4">
        <v>50</v>
      </c>
      <c r="B288" s="4" t="s">
        <v>132</v>
      </c>
      <c r="C288" s="7">
        <v>45783</v>
      </c>
      <c r="D288" s="5" t="s">
        <v>300</v>
      </c>
      <c r="E288" s="4" t="e">
        <v>#N/A</v>
      </c>
      <c r="F288" s="4" t="s">
        <v>11</v>
      </c>
      <c r="G288" s="6">
        <v>0</v>
      </c>
      <c r="H288" s="4" t="s">
        <v>15</v>
      </c>
      <c r="I288" s="4" t="s">
        <v>301</v>
      </c>
      <c r="J288" s="6">
        <v>-72.36</v>
      </c>
      <c r="K288" s="6" t="str">
        <f t="shared" si="1"/>
        <v>20240104 OC190540X19316-72.36</v>
      </c>
      <c r="L288" s="4" t="str">
        <f>IF(COUNTIF(D:D,D288)&gt;1,"D","N")</f>
        <v>N</v>
      </c>
      <c r="M288" s="4">
        <f>COUNTIFS(D:D,D288,F:F,"UPDATED")</f>
        <v>0</v>
      </c>
      <c r="N288" s="4">
        <f>COUNTIFS(D:D,D288,F:F,"NOT UPDATED")</f>
        <v>1</v>
      </c>
      <c r="O288" s="4">
        <f>COUNTIF(D:D,D288)</f>
        <v>1</v>
      </c>
    </row>
    <row r="289" spans="1:15" hidden="1" x14ac:dyDescent="0.25">
      <c r="A289" s="4">
        <v>8</v>
      </c>
      <c r="B289" s="4" t="s">
        <v>111</v>
      </c>
      <c r="C289" s="7">
        <v>45778</v>
      </c>
      <c r="D289" s="5" t="s">
        <v>302</v>
      </c>
      <c r="E289" s="4" t="s">
        <v>302</v>
      </c>
      <c r="F289" s="4" t="s">
        <v>339</v>
      </c>
      <c r="G289" s="6">
        <v>4019.83</v>
      </c>
      <c r="H289" s="4" t="s">
        <v>15</v>
      </c>
      <c r="I289" s="4" t="s">
        <v>303</v>
      </c>
      <c r="J289" s="6">
        <v>267.52999999999997</v>
      </c>
      <c r="K289" s="6" t="str">
        <f t="shared" si="1"/>
        <v>20240514 OC245701X31838267.53</v>
      </c>
      <c r="L289" s="4" t="str">
        <f>IF(COUNTIF(D:D,D289)&gt;1,"D","N")</f>
        <v>N</v>
      </c>
      <c r="M289" s="4">
        <f>COUNTIFS(D:D,D289,F:F,"UPDATED")</f>
        <v>1</v>
      </c>
      <c r="N289" s="4">
        <f>COUNTIFS(D:D,D289,F:F,"NOT UPDATED")</f>
        <v>0</v>
      </c>
      <c r="O289" s="4">
        <f>COUNTIF(D:D,D289)</f>
        <v>1</v>
      </c>
    </row>
    <row r="290" spans="1:15" hidden="1" x14ac:dyDescent="0.25">
      <c r="A290" s="4">
        <v>28</v>
      </c>
      <c r="B290" s="4" t="s">
        <v>78</v>
      </c>
      <c r="C290" s="7">
        <v>45782</v>
      </c>
      <c r="D290" s="5" t="s">
        <v>304</v>
      </c>
      <c r="E290" s="4" t="s">
        <v>304</v>
      </c>
      <c r="F290" s="4" t="s">
        <v>339</v>
      </c>
      <c r="G290" s="6">
        <v>81.41</v>
      </c>
      <c r="H290" s="4" t="s">
        <v>15</v>
      </c>
      <c r="I290" s="4" t="s">
        <v>305</v>
      </c>
      <c r="J290" s="6">
        <v>-60.69</v>
      </c>
      <c r="K290" s="6" t="str">
        <f t="shared" si="1"/>
        <v>OC357627X27926 250430BPCE02-60.69</v>
      </c>
      <c r="L290" s="4" t="str">
        <f>IF(COUNTIF(D:D,D290)&gt;1,"D","N")</f>
        <v>N</v>
      </c>
      <c r="M290" s="4">
        <f>COUNTIFS(D:D,D290,F:F,"UPDATED")</f>
        <v>1</v>
      </c>
      <c r="N290" s="4">
        <f>COUNTIFS(D:D,D290,F:F,"NOT UPDATED")</f>
        <v>0</v>
      </c>
      <c r="O290" s="4">
        <f>COUNTIF(D:D,D290)</f>
        <v>1</v>
      </c>
    </row>
    <row r="291" spans="1:15" hidden="1" x14ac:dyDescent="0.25">
      <c r="A291" s="4">
        <v>27</v>
      </c>
      <c r="B291" s="4" t="s">
        <v>78</v>
      </c>
      <c r="C291" s="7">
        <v>45782</v>
      </c>
      <c r="D291" s="5" t="s">
        <v>306</v>
      </c>
      <c r="E291" s="4" t="s">
        <v>306</v>
      </c>
      <c r="F291" s="4" t="s">
        <v>339</v>
      </c>
      <c r="G291" s="6">
        <v>3453.2</v>
      </c>
      <c r="H291" s="4" t="s">
        <v>15</v>
      </c>
      <c r="I291" s="4" t="s">
        <v>307</v>
      </c>
      <c r="J291" s="6">
        <v>-214.42</v>
      </c>
      <c r="K291" s="6" t="str">
        <f t="shared" si="1"/>
        <v>OC384263X25807 250630BELF01-214.42</v>
      </c>
      <c r="L291" s="4" t="str">
        <f>IF(COUNTIF(D:D,D291)&gt;1,"D","N")</f>
        <v>N</v>
      </c>
      <c r="M291" s="4">
        <f>COUNTIFS(D:D,D291,F:F,"UPDATED")</f>
        <v>1</v>
      </c>
      <c r="N291" s="4">
        <f>COUNTIFS(D:D,D291,F:F,"NOT UPDATED")</f>
        <v>0</v>
      </c>
      <c r="O291" s="4">
        <f>COUNTIF(D:D,D291)</f>
        <v>1</v>
      </c>
    </row>
    <row r="292" spans="1:15" hidden="1" x14ac:dyDescent="0.25">
      <c r="A292" s="4">
        <v>78</v>
      </c>
      <c r="B292" s="4" t="s">
        <v>78</v>
      </c>
      <c r="C292" s="7">
        <v>45785</v>
      </c>
      <c r="D292" s="5" t="s">
        <v>308</v>
      </c>
      <c r="E292" s="4" t="s">
        <v>308</v>
      </c>
      <c r="F292" s="4" t="s">
        <v>339</v>
      </c>
      <c r="G292" s="6">
        <v>513.29999999999995</v>
      </c>
      <c r="H292" s="4" t="s">
        <v>15</v>
      </c>
      <c r="I292" s="4" t="s">
        <v>309</v>
      </c>
      <c r="J292" s="6">
        <v>-94.06</v>
      </c>
      <c r="K292" s="6" t="str">
        <f t="shared" si="1"/>
        <v>OC409054X45980 251140BVET01-94.06</v>
      </c>
      <c r="L292" s="4" t="str">
        <f>IF(COUNTIF(D:D,D292)&gt;1,"D","N")</f>
        <v>N</v>
      </c>
      <c r="M292" s="4">
        <f>COUNTIFS(D:D,D292,F:F,"UPDATED")</f>
        <v>1</v>
      </c>
      <c r="N292" s="4">
        <f>COUNTIFS(D:D,D292,F:F,"NOT UPDATED")</f>
        <v>0</v>
      </c>
      <c r="O292" s="4">
        <f>COUNTIF(D:D,D292)</f>
        <v>1</v>
      </c>
    </row>
    <row r="293" spans="1:15" hidden="1" x14ac:dyDescent="0.25">
      <c r="A293" s="4">
        <v>77</v>
      </c>
      <c r="B293" s="4" t="s">
        <v>78</v>
      </c>
      <c r="C293" s="7">
        <v>45785</v>
      </c>
      <c r="D293" s="5" t="s">
        <v>310</v>
      </c>
      <c r="E293" s="4" t="e">
        <v>#N/A</v>
      </c>
      <c r="F293" s="4" t="s">
        <v>11</v>
      </c>
      <c r="G293" s="6">
        <v>2871.12</v>
      </c>
      <c r="H293" s="4" t="s">
        <v>15</v>
      </c>
      <c r="I293" s="4" t="s">
        <v>311</v>
      </c>
      <c r="J293" s="6">
        <v>25.65</v>
      </c>
      <c r="K293" s="6" t="str">
        <f t="shared" si="1"/>
        <v>OC236901X28246 241230ABKY0125.65</v>
      </c>
      <c r="L293" s="4" t="str">
        <f>IF(COUNTIF(D:D,D293)&gt;1,"D","N")</f>
        <v>N</v>
      </c>
      <c r="M293" s="4">
        <f>COUNTIFS(D:D,D293,F:F,"UPDATED")</f>
        <v>0</v>
      </c>
      <c r="N293" s="4">
        <f>COUNTIFS(D:D,D293,F:F,"NOT UPDATED")</f>
        <v>1</v>
      </c>
      <c r="O293" s="4">
        <f>COUNTIF(D:D,D293)</f>
        <v>1</v>
      </c>
    </row>
    <row r="294" spans="1:15" hidden="1" x14ac:dyDescent="0.25">
      <c r="A294" s="4">
        <v>90</v>
      </c>
      <c r="B294" s="4" t="s">
        <v>78</v>
      </c>
      <c r="C294" s="7">
        <v>45789</v>
      </c>
      <c r="D294" s="5" t="s">
        <v>107</v>
      </c>
      <c r="E294" s="4" t="e">
        <v>#N/A</v>
      </c>
      <c r="F294" s="4" t="s">
        <v>11</v>
      </c>
      <c r="G294" s="6">
        <v>238.53</v>
      </c>
      <c r="H294" s="4" t="s">
        <v>108</v>
      </c>
      <c r="I294" s="4" t="s">
        <v>80</v>
      </c>
      <c r="J294" s="6">
        <v>921.39</v>
      </c>
      <c r="K294" s="6" t="str">
        <f t="shared" si="1"/>
        <v>OC302798X35830 242650BDMC01921.39</v>
      </c>
      <c r="L294" s="4" t="str">
        <f>IF(COUNTIF(D:D,D294)&gt;1,"D","N")</f>
        <v>N</v>
      </c>
      <c r="M294" s="4">
        <f>COUNTIFS(D:D,D294,F:F,"UPDATED")</f>
        <v>0</v>
      </c>
      <c r="N294" s="4">
        <f>COUNTIFS(D:D,D294,F:F,"NOT UPDATED")</f>
        <v>1</v>
      </c>
      <c r="O294" s="4">
        <f>COUNTIF(D:D,D294)</f>
        <v>1</v>
      </c>
    </row>
    <row r="295" spans="1:15" hidden="1" x14ac:dyDescent="0.25">
      <c r="A295" s="4">
        <v>120</v>
      </c>
      <c r="B295" s="4" t="s">
        <v>78</v>
      </c>
      <c r="C295" s="7">
        <v>45790</v>
      </c>
      <c r="D295" s="5" t="s">
        <v>312</v>
      </c>
      <c r="E295" s="4" t="s">
        <v>312</v>
      </c>
      <c r="F295" s="4" t="s">
        <v>339</v>
      </c>
      <c r="G295" s="6">
        <v>3564.41</v>
      </c>
      <c r="H295" s="4" t="s">
        <v>15</v>
      </c>
      <c r="I295" s="4" t="s">
        <v>313</v>
      </c>
      <c r="J295" s="6">
        <v>-13.64</v>
      </c>
      <c r="K295" s="6" t="str">
        <f t="shared" si="1"/>
        <v>OC386938X32520 250700BHYK01-13.64</v>
      </c>
      <c r="L295" s="4" t="str">
        <f>IF(COUNTIF(D:D,D295)&gt;1,"D","N")</f>
        <v>D</v>
      </c>
      <c r="M295" s="4">
        <f>COUNTIFS(D:D,D295,F:F,"UPDATED")</f>
        <v>2</v>
      </c>
      <c r="N295" s="4">
        <f>COUNTIFS(D:D,D295,F:F,"NOT UPDATED")</f>
        <v>0</v>
      </c>
      <c r="O295" s="4">
        <f>COUNTIF(D:D,D295)</f>
        <v>2</v>
      </c>
    </row>
    <row r="296" spans="1:15" hidden="1" x14ac:dyDescent="0.25">
      <c r="A296" s="4">
        <v>121</v>
      </c>
      <c r="B296" s="4" t="s">
        <v>78</v>
      </c>
      <c r="C296" s="7">
        <v>45790</v>
      </c>
      <c r="D296" s="5" t="s">
        <v>312</v>
      </c>
      <c r="E296" s="4" t="s">
        <v>312</v>
      </c>
      <c r="F296" s="4" t="s">
        <v>339</v>
      </c>
      <c r="G296" s="6">
        <v>3564.41</v>
      </c>
      <c r="H296" s="4" t="s">
        <v>15</v>
      </c>
      <c r="I296" s="4" t="s">
        <v>314</v>
      </c>
      <c r="J296" s="6">
        <v>-15.7</v>
      </c>
      <c r="K296" s="6" t="str">
        <f t="shared" si="1"/>
        <v>OC389991X14187 2507400Y0F01-15.7</v>
      </c>
      <c r="L296" s="4" t="str">
        <f>IF(COUNTIF(D:D,D296)&gt;1,"D","N")</f>
        <v>D</v>
      </c>
      <c r="M296" s="4">
        <f>COUNTIFS(D:D,D296,F:F,"UPDATED")</f>
        <v>2</v>
      </c>
      <c r="N296" s="4">
        <f>COUNTIFS(D:D,D296,F:F,"NOT UPDATED")</f>
        <v>0</v>
      </c>
      <c r="O296" s="4">
        <f>COUNTIF(D:D,D296)</f>
        <v>2</v>
      </c>
    </row>
    <row r="297" spans="1:15" hidden="1" x14ac:dyDescent="0.25">
      <c r="A297" s="4">
        <v>147</v>
      </c>
      <c r="B297" s="4" t="s">
        <v>78</v>
      </c>
      <c r="C297" s="7">
        <v>45792</v>
      </c>
      <c r="D297" s="5" t="s">
        <v>315</v>
      </c>
      <c r="E297" s="4" t="e">
        <v>#N/A</v>
      </c>
      <c r="F297" s="4" t="s">
        <v>11</v>
      </c>
      <c r="G297" s="6">
        <v>87.73</v>
      </c>
      <c r="H297" s="4" t="s">
        <v>131</v>
      </c>
      <c r="J297" s="6">
        <v>-7.37</v>
      </c>
      <c r="K297" s="6" t="str">
        <f t="shared" si="1"/>
        <v>-7.37</v>
      </c>
      <c r="L297" s="4" t="str">
        <f>IF(COUNTIF(D:D,D297)&gt;1,"D","N")</f>
        <v>N</v>
      </c>
      <c r="M297" s="4">
        <f>COUNTIFS(D:D,D297,F:F,"UPDATED")</f>
        <v>0</v>
      </c>
      <c r="N297" s="4">
        <f>COUNTIFS(D:D,D297,F:F,"NOT UPDATED")</f>
        <v>1</v>
      </c>
      <c r="O297" s="4">
        <f>COUNTIF(D:D,D297)</f>
        <v>1</v>
      </c>
    </row>
    <row r="298" spans="1:15" hidden="1" x14ac:dyDescent="0.25">
      <c r="A298" s="4">
        <v>199</v>
      </c>
      <c r="B298" s="4" t="s">
        <v>78</v>
      </c>
      <c r="C298" s="7">
        <v>45804</v>
      </c>
      <c r="D298" s="5" t="s">
        <v>109</v>
      </c>
      <c r="E298" s="4" t="e">
        <v>#N/A</v>
      </c>
      <c r="F298" s="4" t="s">
        <v>11</v>
      </c>
      <c r="G298" s="6">
        <v>223.04</v>
      </c>
      <c r="H298" s="4" t="s">
        <v>15</v>
      </c>
      <c r="I298" s="4" t="s">
        <v>86</v>
      </c>
      <c r="J298" s="6">
        <v>24.2</v>
      </c>
      <c r="K298" s="6" t="str">
        <f t="shared" si="1"/>
        <v>OC230177X33947 241100BLHD0124.2</v>
      </c>
      <c r="L298" s="4" t="str">
        <f>IF(COUNTIF(D:D,D298)&gt;1,"D","N")</f>
        <v>D</v>
      </c>
      <c r="M298" s="4">
        <f>COUNTIFS(D:D,D298,F:F,"UPDATED")</f>
        <v>0</v>
      </c>
      <c r="N298" s="4">
        <f>COUNTIFS(D:D,D298,F:F,"NOT UPDATED")</f>
        <v>8</v>
      </c>
      <c r="O298" s="4">
        <f>COUNTIF(D:D,D298)</f>
        <v>8</v>
      </c>
    </row>
    <row r="299" spans="1:15" hidden="1" x14ac:dyDescent="0.25">
      <c r="A299" s="4">
        <v>194</v>
      </c>
      <c r="B299" s="4" t="s">
        <v>78</v>
      </c>
      <c r="C299" s="7">
        <v>45804</v>
      </c>
      <c r="D299" s="5" t="s">
        <v>109</v>
      </c>
      <c r="E299" s="4" t="e">
        <v>#N/A</v>
      </c>
      <c r="F299" s="4" t="s">
        <v>11</v>
      </c>
      <c r="G299" s="6">
        <v>223.04</v>
      </c>
      <c r="H299" s="4" t="s">
        <v>15</v>
      </c>
      <c r="I299" s="4" t="s">
        <v>316</v>
      </c>
      <c r="J299" s="6">
        <v>43.54</v>
      </c>
      <c r="K299" s="6" t="str">
        <f t="shared" si="1"/>
        <v>OC227863X33581 241070AFHJ0143.54</v>
      </c>
      <c r="L299" s="4" t="str">
        <f>IF(COUNTIF(D:D,D299)&gt;1,"D","N")</f>
        <v>D</v>
      </c>
      <c r="M299" s="4">
        <f>COUNTIFS(D:D,D299,F:F,"UPDATED")</f>
        <v>0</v>
      </c>
      <c r="N299" s="4">
        <f>COUNTIFS(D:D,D299,F:F,"NOT UPDATED")</f>
        <v>8</v>
      </c>
      <c r="O299" s="4">
        <f>COUNTIF(D:D,D299)</f>
        <v>8</v>
      </c>
    </row>
    <row r="300" spans="1:15" hidden="1" x14ac:dyDescent="0.25">
      <c r="A300" s="4">
        <v>195</v>
      </c>
      <c r="B300" s="4" t="s">
        <v>78</v>
      </c>
      <c r="C300" s="7">
        <v>45804</v>
      </c>
      <c r="D300" s="5" t="s">
        <v>109</v>
      </c>
      <c r="E300" s="4" t="e">
        <v>#N/A</v>
      </c>
      <c r="F300" s="4" t="s">
        <v>11</v>
      </c>
      <c r="G300" s="6">
        <v>223.04</v>
      </c>
      <c r="H300" s="4" t="s">
        <v>15</v>
      </c>
      <c r="I300" s="4" t="s">
        <v>317</v>
      </c>
      <c r="J300" s="6">
        <v>43.54</v>
      </c>
      <c r="K300" s="6" t="str">
        <f t="shared" si="1"/>
        <v>OC229890X33947 241100BLHH0143.54</v>
      </c>
      <c r="L300" s="4" t="str">
        <f>IF(COUNTIF(D:D,D300)&gt;1,"D","N")</f>
        <v>D</v>
      </c>
      <c r="M300" s="4">
        <f>COUNTIFS(D:D,D300,F:F,"UPDATED")</f>
        <v>0</v>
      </c>
      <c r="N300" s="4">
        <f>COUNTIFS(D:D,D300,F:F,"NOT UPDATED")</f>
        <v>8</v>
      </c>
      <c r="O300" s="4">
        <f>COUNTIF(D:D,D300)</f>
        <v>8</v>
      </c>
    </row>
    <row r="301" spans="1:15" hidden="1" x14ac:dyDescent="0.25">
      <c r="A301" s="4">
        <v>196</v>
      </c>
      <c r="B301" s="4" t="s">
        <v>78</v>
      </c>
      <c r="C301" s="7">
        <v>45804</v>
      </c>
      <c r="D301" s="5" t="s">
        <v>109</v>
      </c>
      <c r="E301" s="4" t="e">
        <v>#N/A</v>
      </c>
      <c r="F301" s="4" t="s">
        <v>11</v>
      </c>
      <c r="G301" s="6">
        <v>223.04</v>
      </c>
      <c r="H301" s="4" t="s">
        <v>15</v>
      </c>
      <c r="I301" s="4" t="s">
        <v>318</v>
      </c>
      <c r="J301" s="6">
        <v>43.54</v>
      </c>
      <c r="K301" s="6" t="str">
        <f t="shared" si="1"/>
        <v>OC229951X33947 241100BLHM0143.54</v>
      </c>
      <c r="L301" s="4" t="str">
        <f>IF(COUNTIF(D:D,D301)&gt;1,"D","N")</f>
        <v>D</v>
      </c>
      <c r="M301" s="4">
        <f>COUNTIFS(D:D,D301,F:F,"UPDATED")</f>
        <v>0</v>
      </c>
      <c r="N301" s="4">
        <f>COUNTIFS(D:D,D301,F:F,"NOT UPDATED")</f>
        <v>8</v>
      </c>
      <c r="O301" s="4">
        <f>COUNTIF(D:D,D301)</f>
        <v>8</v>
      </c>
    </row>
    <row r="302" spans="1:15" hidden="1" x14ac:dyDescent="0.25">
      <c r="A302" s="4">
        <v>197</v>
      </c>
      <c r="B302" s="4" t="s">
        <v>78</v>
      </c>
      <c r="C302" s="7">
        <v>45804</v>
      </c>
      <c r="D302" s="5" t="s">
        <v>109</v>
      </c>
      <c r="E302" s="4" t="e">
        <v>#N/A</v>
      </c>
      <c r="F302" s="4" t="s">
        <v>11</v>
      </c>
      <c r="G302" s="6">
        <v>223.04</v>
      </c>
      <c r="H302" s="4" t="s">
        <v>15</v>
      </c>
      <c r="I302" s="4" t="s">
        <v>319</v>
      </c>
      <c r="J302" s="6">
        <v>62.74</v>
      </c>
      <c r="K302" s="6" t="str">
        <f t="shared" si="1"/>
        <v>OC230070X34223 241100CFQ00162.74</v>
      </c>
      <c r="L302" s="4" t="str">
        <f>IF(COUNTIF(D:D,D302)&gt;1,"D","N")</f>
        <v>D</v>
      </c>
      <c r="M302" s="4">
        <f>COUNTIFS(D:D,D302,F:F,"UPDATED")</f>
        <v>0</v>
      </c>
      <c r="N302" s="4">
        <f>COUNTIFS(D:D,D302,F:F,"NOT UPDATED")</f>
        <v>8</v>
      </c>
      <c r="O302" s="4">
        <f>COUNTIF(D:D,D302)</f>
        <v>8</v>
      </c>
    </row>
    <row r="303" spans="1:15" hidden="1" x14ac:dyDescent="0.25">
      <c r="A303" s="4">
        <v>198</v>
      </c>
      <c r="B303" s="4" t="s">
        <v>78</v>
      </c>
      <c r="C303" s="7">
        <v>45804</v>
      </c>
      <c r="D303" s="5" t="s">
        <v>109</v>
      </c>
      <c r="E303" s="4" t="e">
        <v>#N/A</v>
      </c>
      <c r="F303" s="4" t="s">
        <v>11</v>
      </c>
      <c r="G303" s="6">
        <v>223.04</v>
      </c>
      <c r="H303" s="4" t="s">
        <v>15</v>
      </c>
      <c r="I303" s="4" t="s">
        <v>320</v>
      </c>
      <c r="J303" s="6">
        <v>43.54</v>
      </c>
      <c r="K303" s="6" t="str">
        <f t="shared" si="1"/>
        <v>OC230162X33947 241100BQTJ0143.54</v>
      </c>
      <c r="L303" s="4" t="str">
        <f>IF(COUNTIF(D:D,D303)&gt;1,"D","N")</f>
        <v>D</v>
      </c>
      <c r="M303" s="4">
        <f>COUNTIFS(D:D,D303,F:F,"UPDATED")</f>
        <v>0</v>
      </c>
      <c r="N303" s="4">
        <f>COUNTIFS(D:D,D303,F:F,"NOT UPDATED")</f>
        <v>8</v>
      </c>
      <c r="O303" s="4">
        <f>COUNTIF(D:D,D303)</f>
        <v>8</v>
      </c>
    </row>
    <row r="304" spans="1:15" hidden="1" x14ac:dyDescent="0.25">
      <c r="A304" s="4">
        <v>200</v>
      </c>
      <c r="B304" s="4" t="s">
        <v>78</v>
      </c>
      <c r="C304" s="7">
        <v>45804</v>
      </c>
      <c r="D304" s="5" t="s">
        <v>109</v>
      </c>
      <c r="E304" s="4" t="e">
        <v>#N/A</v>
      </c>
      <c r="F304" s="4" t="s">
        <v>11</v>
      </c>
      <c r="G304" s="6">
        <v>223.04</v>
      </c>
      <c r="H304" s="4" t="s">
        <v>15</v>
      </c>
      <c r="I304" s="4" t="s">
        <v>321</v>
      </c>
      <c r="J304" s="6">
        <v>43.54</v>
      </c>
      <c r="K304" s="6" t="str">
        <f t="shared" si="1"/>
        <v>OC230204X34223 241100AMJ00143.54</v>
      </c>
      <c r="L304" s="4" t="str">
        <f>IF(COUNTIF(D:D,D304)&gt;1,"D","N")</f>
        <v>D</v>
      </c>
      <c r="M304" s="4">
        <f>COUNTIFS(D:D,D304,F:F,"UPDATED")</f>
        <v>0</v>
      </c>
      <c r="N304" s="4">
        <f>COUNTIFS(D:D,D304,F:F,"NOT UPDATED")</f>
        <v>8</v>
      </c>
      <c r="O304" s="4">
        <f>COUNTIF(D:D,D304)</f>
        <v>8</v>
      </c>
    </row>
    <row r="305" spans="1:15" hidden="1" x14ac:dyDescent="0.25">
      <c r="A305" s="4">
        <v>201</v>
      </c>
      <c r="B305" s="4" t="s">
        <v>78</v>
      </c>
      <c r="C305" s="7">
        <v>45804</v>
      </c>
      <c r="D305" s="5" t="s">
        <v>109</v>
      </c>
      <c r="E305" s="4" t="e">
        <v>#N/A</v>
      </c>
      <c r="F305" s="4" t="s">
        <v>11</v>
      </c>
      <c r="G305" s="6">
        <v>223.04</v>
      </c>
      <c r="H305" s="4" t="s">
        <v>15</v>
      </c>
      <c r="I305" s="4" t="s">
        <v>322</v>
      </c>
      <c r="J305" s="6">
        <v>43.54</v>
      </c>
      <c r="K305" s="6" t="str">
        <f t="shared" si="1"/>
        <v>OC230248X34223 2411000FSX0143.54</v>
      </c>
      <c r="L305" s="4" t="str">
        <f>IF(COUNTIF(D:D,D305)&gt;1,"D","N")</f>
        <v>D</v>
      </c>
      <c r="M305" s="4">
        <f>COUNTIFS(D:D,D305,F:F,"UPDATED")</f>
        <v>0</v>
      </c>
      <c r="N305" s="4">
        <f>COUNTIFS(D:D,D305,F:F,"NOT UPDATED")</f>
        <v>8</v>
      </c>
      <c r="O305" s="4">
        <f>COUNTIF(D:D,D305)</f>
        <v>8</v>
      </c>
    </row>
    <row r="306" spans="1:15" hidden="1" x14ac:dyDescent="0.25">
      <c r="A306" s="4">
        <v>204</v>
      </c>
      <c r="B306" s="4" t="s">
        <v>78</v>
      </c>
      <c r="C306" s="7">
        <v>45804</v>
      </c>
      <c r="D306" s="5" t="s">
        <v>110</v>
      </c>
      <c r="E306" s="4" t="e">
        <v>#N/A</v>
      </c>
      <c r="F306" s="4" t="s">
        <v>11</v>
      </c>
      <c r="G306" s="6">
        <v>83.3</v>
      </c>
      <c r="H306" s="4" t="s">
        <v>15</v>
      </c>
      <c r="I306" s="4" t="s">
        <v>84</v>
      </c>
      <c r="J306" s="6">
        <v>24.79</v>
      </c>
      <c r="K306" s="6" t="str">
        <f t="shared" si="1"/>
        <v>OC235240X1669 241210ABHZ0124.79</v>
      </c>
      <c r="L306" s="4" t="str">
        <f>IF(COUNTIF(D:D,D306)&gt;1,"D","N")</f>
        <v>D</v>
      </c>
      <c r="M306" s="4">
        <f>COUNTIFS(D:D,D306,F:F,"UPDATED")</f>
        <v>0</v>
      </c>
      <c r="N306" s="4">
        <f>COUNTIFS(D:D,D306,F:F,"NOT UPDATED")</f>
        <v>3</v>
      </c>
      <c r="O306" s="4">
        <f>COUNTIF(D:D,D306)</f>
        <v>3</v>
      </c>
    </row>
    <row r="307" spans="1:15" hidden="1" x14ac:dyDescent="0.25">
      <c r="A307" s="4">
        <v>203</v>
      </c>
      <c r="B307" s="4" t="s">
        <v>78</v>
      </c>
      <c r="C307" s="7">
        <v>45804</v>
      </c>
      <c r="D307" s="5" t="s">
        <v>110</v>
      </c>
      <c r="E307" s="4" t="e">
        <v>#N/A</v>
      </c>
      <c r="F307" s="4" t="s">
        <v>11</v>
      </c>
      <c r="G307" s="6">
        <v>83.3</v>
      </c>
      <c r="H307" s="4" t="s">
        <v>15</v>
      </c>
      <c r="I307" s="4" t="s">
        <v>323</v>
      </c>
      <c r="J307" s="6">
        <v>83.23</v>
      </c>
      <c r="K307" s="6" t="str">
        <f t="shared" si="1"/>
        <v>OC235239X1669 241210BADB0183.23</v>
      </c>
      <c r="L307" s="4" t="str">
        <f>IF(COUNTIF(D:D,D307)&gt;1,"D","N")</f>
        <v>D</v>
      </c>
      <c r="M307" s="4">
        <f>COUNTIFS(D:D,D307,F:F,"UPDATED")</f>
        <v>0</v>
      </c>
      <c r="N307" s="4">
        <f>COUNTIFS(D:D,D307,F:F,"NOT UPDATED")</f>
        <v>3</v>
      </c>
      <c r="O307" s="4">
        <f>COUNTIF(D:D,D307)</f>
        <v>3</v>
      </c>
    </row>
    <row r="308" spans="1:15" hidden="1" x14ac:dyDescent="0.25">
      <c r="A308" s="4">
        <v>205</v>
      </c>
      <c r="B308" s="4" t="s">
        <v>78</v>
      </c>
      <c r="C308" s="7">
        <v>45804</v>
      </c>
      <c r="D308" s="5" t="s">
        <v>110</v>
      </c>
      <c r="E308" s="4" t="e">
        <v>#N/A</v>
      </c>
      <c r="F308" s="4" t="s">
        <v>11</v>
      </c>
      <c r="G308" s="6">
        <v>83.3</v>
      </c>
      <c r="H308" s="4" t="s">
        <v>15</v>
      </c>
      <c r="I308" s="4" t="s">
        <v>324</v>
      </c>
      <c r="J308" s="6">
        <v>64.08</v>
      </c>
      <c r="K308" s="6" t="str">
        <f t="shared" si="1"/>
        <v>OC236980X1669 241230AEPE0164.08</v>
      </c>
      <c r="L308" s="4" t="str">
        <f>IF(COUNTIF(D:D,D308)&gt;1,"D","N")</f>
        <v>D</v>
      </c>
      <c r="M308" s="4">
        <f>COUNTIFS(D:D,D308,F:F,"UPDATED")</f>
        <v>0</v>
      </c>
      <c r="N308" s="4">
        <f>COUNTIFS(D:D,D308,F:F,"NOT UPDATED")</f>
        <v>3</v>
      </c>
      <c r="O308" s="4">
        <f>COUNTIF(D:D,D308)</f>
        <v>3</v>
      </c>
    </row>
    <row r="309" spans="1:15" hidden="1" x14ac:dyDescent="0.25">
      <c r="A309" s="4">
        <v>202</v>
      </c>
      <c r="B309" s="4" t="s">
        <v>78</v>
      </c>
      <c r="C309" s="7">
        <v>45804</v>
      </c>
      <c r="D309" s="5" t="s">
        <v>325</v>
      </c>
      <c r="E309" s="4" t="e">
        <v>#N/A</v>
      </c>
      <c r="F309" s="4" t="s">
        <v>11</v>
      </c>
      <c r="G309" s="6">
        <v>730.13</v>
      </c>
      <c r="H309" s="4" t="s">
        <v>15</v>
      </c>
      <c r="I309" s="4" t="s">
        <v>326</v>
      </c>
      <c r="J309" s="6">
        <v>26.91</v>
      </c>
      <c r="K309" s="6" t="str">
        <f t="shared" si="1"/>
        <v>OC376765X22660 2322300JDK1826.91</v>
      </c>
      <c r="L309" s="4" t="str">
        <f>IF(COUNTIF(D:D,D309)&gt;1,"D","N")</f>
        <v>N</v>
      </c>
      <c r="M309" s="4">
        <f>COUNTIFS(D:D,D309,F:F,"UPDATED")</f>
        <v>0</v>
      </c>
      <c r="N309" s="4">
        <f>COUNTIFS(D:D,D309,F:F,"NOT UPDATED")</f>
        <v>1</v>
      </c>
      <c r="O309" s="4">
        <f>COUNTIF(D:D,D309)</f>
        <v>1</v>
      </c>
    </row>
    <row r="310" spans="1:15" hidden="1" x14ac:dyDescent="0.25">
      <c r="A310" s="4">
        <v>134</v>
      </c>
      <c r="B310" s="4" t="s">
        <v>111</v>
      </c>
      <c r="C310" s="7">
        <v>45791</v>
      </c>
      <c r="D310" s="5" t="s">
        <v>112</v>
      </c>
      <c r="E310" s="4" t="s">
        <v>112</v>
      </c>
      <c r="F310" s="4" t="s">
        <v>339</v>
      </c>
      <c r="G310" s="6">
        <v>2126.5100000000002</v>
      </c>
      <c r="H310" s="4">
        <v>72</v>
      </c>
      <c r="I310" s="4" t="s">
        <v>113</v>
      </c>
      <c r="J310" s="6">
        <v>-24.91</v>
      </c>
      <c r="K310" s="6" t="str">
        <f t="shared" si="1"/>
        <v>20220401 SC57808X6312-24.91</v>
      </c>
      <c r="L310" s="4" t="str">
        <f>IF(COUNTIF(D:D,D310)&gt;1,"D","N")</f>
        <v>D</v>
      </c>
      <c r="M310" s="4">
        <f>COUNTIFS(D:D,D310,F:F,"UPDATED")</f>
        <v>13</v>
      </c>
      <c r="N310" s="4">
        <f>COUNTIFS(D:D,D310,F:F,"NOT UPDATED")</f>
        <v>0</v>
      </c>
      <c r="O310" s="4">
        <f>COUNTIF(D:D,D310)</f>
        <v>13</v>
      </c>
    </row>
    <row r="311" spans="1:15" hidden="1" x14ac:dyDescent="0.25">
      <c r="A311" s="4">
        <v>141</v>
      </c>
      <c r="B311" s="4" t="s">
        <v>111</v>
      </c>
      <c r="C311" s="7">
        <v>45791</v>
      </c>
      <c r="D311" s="5" t="s">
        <v>112</v>
      </c>
      <c r="E311" s="4" t="s">
        <v>112</v>
      </c>
      <c r="F311" s="4" t="s">
        <v>339</v>
      </c>
      <c r="G311" s="6">
        <v>2126.5100000000002</v>
      </c>
      <c r="H311" s="4" t="s">
        <v>15</v>
      </c>
      <c r="I311" s="4" t="s">
        <v>113</v>
      </c>
      <c r="J311" s="6">
        <v>24.91</v>
      </c>
      <c r="K311" s="6" t="str">
        <f t="shared" si="1"/>
        <v>20220401 SC57808X631224.91</v>
      </c>
      <c r="L311" s="4" t="str">
        <f>IF(COUNTIF(D:D,D311)&gt;1,"D","N")</f>
        <v>D</v>
      </c>
      <c r="M311" s="4">
        <f>COUNTIFS(D:D,D311,F:F,"UPDATED")</f>
        <v>13</v>
      </c>
      <c r="N311" s="4">
        <f>COUNTIFS(D:D,D311,F:F,"NOT UPDATED")</f>
        <v>0</v>
      </c>
      <c r="O311" s="4">
        <f>COUNTIF(D:D,D311)</f>
        <v>13</v>
      </c>
    </row>
    <row r="312" spans="1:15" hidden="1" x14ac:dyDescent="0.25">
      <c r="A312" s="4">
        <v>135</v>
      </c>
      <c r="B312" s="4" t="s">
        <v>111</v>
      </c>
      <c r="C312" s="7">
        <v>45791</v>
      </c>
      <c r="D312" s="5" t="s">
        <v>112</v>
      </c>
      <c r="E312" s="4" t="s">
        <v>112</v>
      </c>
      <c r="F312" s="4" t="s">
        <v>339</v>
      </c>
      <c r="G312" s="6">
        <v>2126.5100000000002</v>
      </c>
      <c r="H312" s="4">
        <v>72</v>
      </c>
      <c r="I312" s="4" t="s">
        <v>114</v>
      </c>
      <c r="J312" s="6">
        <v>-24.91</v>
      </c>
      <c r="K312" s="6" t="str">
        <f t="shared" si="1"/>
        <v>20220408 SC59371X6312-24.91</v>
      </c>
      <c r="L312" s="4" t="str">
        <f>IF(COUNTIF(D:D,D312)&gt;1,"D","N")</f>
        <v>D</v>
      </c>
      <c r="M312" s="4">
        <f>COUNTIFS(D:D,D312,F:F,"UPDATED")</f>
        <v>13</v>
      </c>
      <c r="N312" s="4">
        <f>COUNTIFS(D:D,D312,F:F,"NOT UPDATED")</f>
        <v>0</v>
      </c>
      <c r="O312" s="4">
        <f>COUNTIF(D:D,D312)</f>
        <v>13</v>
      </c>
    </row>
    <row r="313" spans="1:15" hidden="1" x14ac:dyDescent="0.25">
      <c r="A313" s="4">
        <v>142</v>
      </c>
      <c r="B313" s="4" t="s">
        <v>111</v>
      </c>
      <c r="C313" s="7">
        <v>45791</v>
      </c>
      <c r="D313" s="5" t="s">
        <v>112</v>
      </c>
      <c r="E313" s="4" t="s">
        <v>112</v>
      </c>
      <c r="F313" s="4" t="s">
        <v>339</v>
      </c>
      <c r="G313" s="6">
        <v>2126.5100000000002</v>
      </c>
      <c r="H313" s="4" t="s">
        <v>15</v>
      </c>
      <c r="I313" s="4" t="s">
        <v>114</v>
      </c>
      <c r="J313" s="6">
        <v>24.91</v>
      </c>
      <c r="K313" s="6" t="str">
        <f t="shared" si="1"/>
        <v>20220408 SC59371X631224.91</v>
      </c>
      <c r="L313" s="4" t="str">
        <f>IF(COUNTIF(D:D,D313)&gt;1,"D","N")</f>
        <v>D</v>
      </c>
      <c r="M313" s="4">
        <f>COUNTIFS(D:D,D313,F:F,"UPDATED")</f>
        <v>13</v>
      </c>
      <c r="N313" s="4">
        <f>COUNTIFS(D:D,D313,F:F,"NOT UPDATED")</f>
        <v>0</v>
      </c>
      <c r="O313" s="4">
        <f>COUNTIF(D:D,D313)</f>
        <v>13</v>
      </c>
    </row>
    <row r="314" spans="1:15" hidden="1" x14ac:dyDescent="0.25">
      <c r="A314" s="4">
        <v>136</v>
      </c>
      <c r="B314" s="4" t="s">
        <v>111</v>
      </c>
      <c r="C314" s="7">
        <v>45791</v>
      </c>
      <c r="D314" s="5" t="s">
        <v>112</v>
      </c>
      <c r="E314" s="4" t="s">
        <v>112</v>
      </c>
      <c r="F314" s="4" t="s">
        <v>339</v>
      </c>
      <c r="G314" s="6">
        <v>2126.5100000000002</v>
      </c>
      <c r="H314" s="4">
        <v>72</v>
      </c>
      <c r="I314" s="4" t="s">
        <v>115</v>
      </c>
      <c r="J314" s="6">
        <v>-24.91</v>
      </c>
      <c r="K314" s="6" t="str">
        <f t="shared" si="1"/>
        <v>20220513 SC67406X6312-24.91</v>
      </c>
      <c r="L314" s="4" t="str">
        <f>IF(COUNTIF(D:D,D314)&gt;1,"D","N")</f>
        <v>D</v>
      </c>
      <c r="M314" s="4">
        <f>COUNTIFS(D:D,D314,F:F,"UPDATED")</f>
        <v>13</v>
      </c>
      <c r="N314" s="4">
        <f>COUNTIFS(D:D,D314,F:F,"NOT UPDATED")</f>
        <v>0</v>
      </c>
      <c r="O314" s="4">
        <f>COUNTIF(D:D,D314)</f>
        <v>13</v>
      </c>
    </row>
    <row r="315" spans="1:15" hidden="1" x14ac:dyDescent="0.25">
      <c r="A315" s="4">
        <v>143</v>
      </c>
      <c r="B315" s="4" t="s">
        <v>111</v>
      </c>
      <c r="C315" s="7">
        <v>45791</v>
      </c>
      <c r="D315" s="5" t="s">
        <v>112</v>
      </c>
      <c r="E315" s="4" t="s">
        <v>112</v>
      </c>
      <c r="F315" s="4" t="s">
        <v>339</v>
      </c>
      <c r="G315" s="6">
        <v>2126.5100000000002</v>
      </c>
      <c r="H315" s="4" t="s">
        <v>15</v>
      </c>
      <c r="I315" s="4" t="s">
        <v>115</v>
      </c>
      <c r="J315" s="6">
        <v>24.91</v>
      </c>
      <c r="K315" s="6" t="str">
        <f t="shared" si="1"/>
        <v>20220513 SC67406X631224.91</v>
      </c>
      <c r="L315" s="4" t="str">
        <f>IF(COUNTIF(D:D,D315)&gt;1,"D","N")</f>
        <v>D</v>
      </c>
      <c r="M315" s="4">
        <f>COUNTIFS(D:D,D315,F:F,"UPDATED")</f>
        <v>13</v>
      </c>
      <c r="N315" s="4">
        <f>COUNTIFS(D:D,D315,F:F,"NOT UPDATED")</f>
        <v>0</v>
      </c>
      <c r="O315" s="4">
        <f>COUNTIF(D:D,D315)</f>
        <v>13</v>
      </c>
    </row>
    <row r="316" spans="1:15" hidden="1" x14ac:dyDescent="0.25">
      <c r="A316" s="4">
        <v>137</v>
      </c>
      <c r="B316" s="4" t="s">
        <v>111</v>
      </c>
      <c r="C316" s="7">
        <v>45791</v>
      </c>
      <c r="D316" s="5" t="s">
        <v>112</v>
      </c>
      <c r="E316" s="4" t="s">
        <v>112</v>
      </c>
      <c r="F316" s="4" t="s">
        <v>339</v>
      </c>
      <c r="G316" s="6">
        <v>2126.5100000000002</v>
      </c>
      <c r="H316" s="4">
        <v>72</v>
      </c>
      <c r="I316" s="4" t="s">
        <v>116</v>
      </c>
      <c r="J316" s="6">
        <v>-35</v>
      </c>
      <c r="K316" s="6" t="str">
        <f t="shared" si="1"/>
        <v>20220607 SC72101X6312-35</v>
      </c>
      <c r="L316" s="4" t="str">
        <f>IF(COUNTIF(D:D,D316)&gt;1,"D","N")</f>
        <v>D</v>
      </c>
      <c r="M316" s="4">
        <f>COUNTIFS(D:D,D316,F:F,"UPDATED")</f>
        <v>13</v>
      </c>
      <c r="N316" s="4">
        <f>COUNTIFS(D:D,D316,F:F,"NOT UPDATED")</f>
        <v>0</v>
      </c>
      <c r="O316" s="4">
        <f>COUNTIF(D:D,D316)</f>
        <v>13</v>
      </c>
    </row>
    <row r="317" spans="1:15" hidden="1" x14ac:dyDescent="0.25">
      <c r="A317" s="4">
        <v>144</v>
      </c>
      <c r="B317" s="4" t="s">
        <v>111</v>
      </c>
      <c r="C317" s="7">
        <v>45791</v>
      </c>
      <c r="D317" s="5" t="s">
        <v>112</v>
      </c>
      <c r="E317" s="4" t="s">
        <v>112</v>
      </c>
      <c r="F317" s="4" t="s">
        <v>339</v>
      </c>
      <c r="G317" s="6">
        <v>2126.5100000000002</v>
      </c>
      <c r="H317" s="4" t="s">
        <v>15</v>
      </c>
      <c r="I317" s="4" t="s">
        <v>116</v>
      </c>
      <c r="J317" s="6">
        <v>35</v>
      </c>
      <c r="K317" s="6" t="str">
        <f t="shared" si="1"/>
        <v>20220607 SC72101X631235</v>
      </c>
      <c r="L317" s="4" t="str">
        <f>IF(COUNTIF(D:D,D317)&gt;1,"D","N")</f>
        <v>D</v>
      </c>
      <c r="M317" s="4">
        <f>COUNTIFS(D:D,D317,F:F,"UPDATED")</f>
        <v>13</v>
      </c>
      <c r="N317" s="4">
        <f>COUNTIFS(D:D,D317,F:F,"NOT UPDATED")</f>
        <v>0</v>
      </c>
      <c r="O317" s="4">
        <f>COUNTIF(D:D,D317)</f>
        <v>13</v>
      </c>
    </row>
    <row r="318" spans="1:15" hidden="1" x14ac:dyDescent="0.25">
      <c r="A318" s="4">
        <v>138</v>
      </c>
      <c r="B318" s="4" t="s">
        <v>111</v>
      </c>
      <c r="C318" s="7">
        <v>45791</v>
      </c>
      <c r="D318" s="5" t="s">
        <v>112</v>
      </c>
      <c r="E318" s="4" t="s">
        <v>112</v>
      </c>
      <c r="F318" s="4" t="s">
        <v>339</v>
      </c>
      <c r="G318" s="6">
        <v>2126.5100000000002</v>
      </c>
      <c r="H318" s="4">
        <v>72</v>
      </c>
      <c r="I318" s="4" t="s">
        <v>117</v>
      </c>
      <c r="J318" s="6">
        <v>-17.88</v>
      </c>
      <c r="K318" s="6" t="str">
        <f t="shared" si="1"/>
        <v>20220718 SC82232X6312-17.88</v>
      </c>
      <c r="L318" s="4" t="str">
        <f>IF(COUNTIF(D:D,D318)&gt;1,"D","N")</f>
        <v>D</v>
      </c>
      <c r="M318" s="4">
        <f>COUNTIFS(D:D,D318,F:F,"UPDATED")</f>
        <v>13</v>
      </c>
      <c r="N318" s="4">
        <f>COUNTIFS(D:D,D318,F:F,"NOT UPDATED")</f>
        <v>0</v>
      </c>
      <c r="O318" s="4">
        <f>COUNTIF(D:D,D318)</f>
        <v>13</v>
      </c>
    </row>
    <row r="319" spans="1:15" hidden="1" x14ac:dyDescent="0.25">
      <c r="A319" s="4">
        <v>145</v>
      </c>
      <c r="B319" s="4" t="s">
        <v>111</v>
      </c>
      <c r="C319" s="7">
        <v>45791</v>
      </c>
      <c r="D319" s="5" t="s">
        <v>112</v>
      </c>
      <c r="E319" s="4" t="s">
        <v>112</v>
      </c>
      <c r="F319" s="4" t="s">
        <v>339</v>
      </c>
      <c r="G319" s="6">
        <v>2126.5100000000002</v>
      </c>
      <c r="H319" s="4" t="s">
        <v>15</v>
      </c>
      <c r="I319" s="4" t="s">
        <v>117</v>
      </c>
      <c r="J319" s="6">
        <v>17.88</v>
      </c>
      <c r="K319" s="6" t="str">
        <f t="shared" si="1"/>
        <v>20220718 SC82232X631217.88</v>
      </c>
      <c r="L319" s="4" t="str">
        <f>IF(COUNTIF(D:D,D319)&gt;1,"D","N")</f>
        <v>D</v>
      </c>
      <c r="M319" s="4">
        <f>COUNTIFS(D:D,D319,F:F,"UPDATED")</f>
        <v>13</v>
      </c>
      <c r="N319" s="4">
        <f>COUNTIFS(D:D,D319,F:F,"NOT UPDATED")</f>
        <v>0</v>
      </c>
      <c r="O319" s="4">
        <f>COUNTIF(D:D,D319)</f>
        <v>13</v>
      </c>
    </row>
    <row r="320" spans="1:15" hidden="1" x14ac:dyDescent="0.25">
      <c r="A320" s="4">
        <v>139</v>
      </c>
      <c r="B320" s="4" t="s">
        <v>111</v>
      </c>
      <c r="C320" s="7">
        <v>45791</v>
      </c>
      <c r="D320" s="5" t="s">
        <v>112</v>
      </c>
      <c r="E320" s="4" t="s">
        <v>112</v>
      </c>
      <c r="F320" s="4" t="s">
        <v>339</v>
      </c>
      <c r="G320" s="6">
        <v>2126.5100000000002</v>
      </c>
      <c r="H320" s="4">
        <v>72</v>
      </c>
      <c r="I320" s="4" t="s">
        <v>118</v>
      </c>
      <c r="J320" s="6">
        <v>-24.53</v>
      </c>
      <c r="K320" s="6" t="str">
        <f t="shared" si="1"/>
        <v>20220816 SC88312X6312-24.53</v>
      </c>
      <c r="L320" s="4" t="str">
        <f>IF(COUNTIF(D:D,D320)&gt;1,"D","N")</f>
        <v>D</v>
      </c>
      <c r="M320" s="4">
        <f>COUNTIFS(D:D,D320,F:F,"UPDATED")</f>
        <v>13</v>
      </c>
      <c r="N320" s="4">
        <f>COUNTIFS(D:D,D320,F:F,"NOT UPDATED")</f>
        <v>0</v>
      </c>
      <c r="O320" s="4">
        <f>COUNTIF(D:D,D320)</f>
        <v>13</v>
      </c>
    </row>
    <row r="321" spans="1:15" hidden="1" x14ac:dyDescent="0.25">
      <c r="A321" s="4">
        <v>146</v>
      </c>
      <c r="B321" s="4" t="s">
        <v>111</v>
      </c>
      <c r="C321" s="7">
        <v>45791</v>
      </c>
      <c r="D321" s="5" t="s">
        <v>112</v>
      </c>
      <c r="E321" s="4" t="s">
        <v>112</v>
      </c>
      <c r="F321" s="4" t="s">
        <v>339</v>
      </c>
      <c r="G321" s="6">
        <v>2126.5100000000002</v>
      </c>
      <c r="H321" s="4" t="s">
        <v>15</v>
      </c>
      <c r="I321" s="4" t="s">
        <v>118</v>
      </c>
      <c r="J321" s="6">
        <v>24.53</v>
      </c>
      <c r="K321" s="6" t="str">
        <f t="shared" si="1"/>
        <v>20220816 SC88312X631224.53</v>
      </c>
      <c r="L321" s="4" t="str">
        <f>IF(COUNTIF(D:D,D321)&gt;1,"D","N")</f>
        <v>D</v>
      </c>
      <c r="M321" s="4">
        <f>COUNTIFS(D:D,D321,F:F,"UPDATED")</f>
        <v>13</v>
      </c>
      <c r="N321" s="4">
        <f>COUNTIFS(D:D,D321,F:F,"NOT UPDATED")</f>
        <v>0</v>
      </c>
      <c r="O321" s="4">
        <f>COUNTIF(D:D,D321)</f>
        <v>13</v>
      </c>
    </row>
    <row r="322" spans="1:15" hidden="1" x14ac:dyDescent="0.25">
      <c r="A322" s="4">
        <v>140</v>
      </c>
      <c r="B322" s="4" t="s">
        <v>111</v>
      </c>
      <c r="C322" s="7">
        <v>45791</v>
      </c>
      <c r="D322" s="5" t="s">
        <v>112</v>
      </c>
      <c r="E322" s="4" t="s">
        <v>112</v>
      </c>
      <c r="F322" s="4" t="s">
        <v>339</v>
      </c>
      <c r="G322" s="6">
        <v>2126.5100000000002</v>
      </c>
      <c r="H322" s="4" t="s">
        <v>15</v>
      </c>
      <c r="I322" s="4" t="s">
        <v>327</v>
      </c>
      <c r="J322" s="6">
        <v>3.64</v>
      </c>
      <c r="K322" s="6" t="str">
        <f t="shared" ref="K322:K336" si="2">I322&amp;J322</f>
        <v>20241126 OC340260X40413.64</v>
      </c>
      <c r="L322" s="4" t="str">
        <f>IF(COUNTIF(D:D,D322)&gt;1,"D","N")</f>
        <v>D</v>
      </c>
      <c r="M322" s="4">
        <f>COUNTIFS(D:D,D322,F:F,"UPDATED")</f>
        <v>13</v>
      </c>
      <c r="N322" s="4">
        <f>COUNTIFS(D:D,D322,F:F,"NOT UPDATED")</f>
        <v>0</v>
      </c>
      <c r="O322" s="4">
        <f>COUNTIF(D:D,D322)</f>
        <v>13</v>
      </c>
    </row>
    <row r="323" spans="1:15" hidden="1" x14ac:dyDescent="0.25">
      <c r="A323" s="4">
        <v>186</v>
      </c>
      <c r="B323" s="4" t="s">
        <v>111</v>
      </c>
      <c r="C323" s="7">
        <v>45800</v>
      </c>
      <c r="D323" s="5" t="s">
        <v>328</v>
      </c>
      <c r="E323" s="4" t="e">
        <v>#N/A</v>
      </c>
      <c r="F323" s="4" t="s">
        <v>11</v>
      </c>
      <c r="G323" s="6">
        <v>5814.4</v>
      </c>
      <c r="H323" s="4" t="s">
        <v>15</v>
      </c>
      <c r="I323" s="4" t="s">
        <v>329</v>
      </c>
      <c r="J323" s="6">
        <v>-129.5</v>
      </c>
      <c r="K323" s="6" t="str">
        <f t="shared" si="2"/>
        <v>20250219 OC380467X1620-129.5</v>
      </c>
      <c r="L323" s="4" t="str">
        <f>IF(COUNTIF(D:D,D323)&gt;1,"D","N")</f>
        <v>N</v>
      </c>
      <c r="M323" s="4">
        <f>COUNTIFS(D:D,D323,F:F,"UPDATED")</f>
        <v>0</v>
      </c>
      <c r="N323" s="4">
        <f>COUNTIFS(D:D,D323,F:F,"NOT UPDATED")</f>
        <v>1</v>
      </c>
      <c r="O323" s="4">
        <f>COUNTIF(D:D,D323)</f>
        <v>1</v>
      </c>
    </row>
    <row r="324" spans="1:15" hidden="1" x14ac:dyDescent="0.25">
      <c r="A324" s="4">
        <v>247</v>
      </c>
      <c r="B324" s="4" t="s">
        <v>111</v>
      </c>
      <c r="C324" s="7">
        <v>45805</v>
      </c>
      <c r="D324" s="5" t="s">
        <v>330</v>
      </c>
      <c r="E324" s="4" t="s">
        <v>330</v>
      </c>
      <c r="F324" s="4" t="s">
        <v>339</v>
      </c>
      <c r="G324" s="6">
        <v>16881.13</v>
      </c>
      <c r="H324" s="4" t="s">
        <v>15</v>
      </c>
      <c r="I324" s="4" t="s">
        <v>331</v>
      </c>
      <c r="J324" s="6">
        <v>-73.89</v>
      </c>
      <c r="K324" s="6" t="str">
        <f t="shared" si="2"/>
        <v>20250115 OC362636X41954-73.89</v>
      </c>
      <c r="L324" s="4" t="str">
        <f>IF(COUNTIF(D:D,D324)&gt;1,"D","N")</f>
        <v>N</v>
      </c>
      <c r="M324" s="4">
        <f>COUNTIFS(D:D,D324,F:F,"UPDATED")</f>
        <v>1</v>
      </c>
      <c r="N324" s="4">
        <f>COUNTIFS(D:D,D324,F:F,"NOT UPDATED")</f>
        <v>0</v>
      </c>
      <c r="O324" s="4">
        <f>COUNTIF(D:D,D324)</f>
        <v>1</v>
      </c>
    </row>
    <row r="325" spans="1:15" hidden="1" x14ac:dyDescent="0.25">
      <c r="A325" s="4">
        <v>51</v>
      </c>
      <c r="B325" s="4" t="s">
        <v>111</v>
      </c>
      <c r="C325" s="7">
        <v>45783</v>
      </c>
      <c r="D325" s="5" t="s">
        <v>119</v>
      </c>
      <c r="E325" s="4" t="e">
        <v>#N/A</v>
      </c>
      <c r="F325" s="4" t="s">
        <v>11</v>
      </c>
      <c r="G325" s="6">
        <v>0</v>
      </c>
      <c r="H325" s="4" t="s">
        <v>15</v>
      </c>
      <c r="I325" s="4" t="s">
        <v>120</v>
      </c>
      <c r="J325" s="6">
        <v>-104.01</v>
      </c>
      <c r="K325" s="6" t="str">
        <f t="shared" si="2"/>
        <v>20240708 OC269812X10490-104.01</v>
      </c>
      <c r="L325" s="4" t="str">
        <f>IF(COUNTIF(D:D,D325)&gt;1,"D","N")</f>
        <v>D</v>
      </c>
      <c r="M325" s="4">
        <f>COUNTIFS(D:D,D325,F:F,"UPDATED")</f>
        <v>0</v>
      </c>
      <c r="N325" s="4">
        <f>COUNTIFS(D:D,D325,F:F,"NOT UPDATED")</f>
        <v>3</v>
      </c>
      <c r="O325" s="4">
        <f>COUNTIF(D:D,D325)</f>
        <v>3</v>
      </c>
    </row>
    <row r="326" spans="1:15" hidden="1" x14ac:dyDescent="0.25">
      <c r="A326" s="4">
        <v>52</v>
      </c>
      <c r="B326" s="4" t="s">
        <v>111</v>
      </c>
      <c r="C326" s="7">
        <v>45783</v>
      </c>
      <c r="D326" s="5" t="s">
        <v>119</v>
      </c>
      <c r="E326" s="4" t="e">
        <v>#N/A</v>
      </c>
      <c r="F326" s="4" t="s">
        <v>11</v>
      </c>
      <c r="G326" s="6">
        <v>0</v>
      </c>
      <c r="H326" s="4" t="s">
        <v>15</v>
      </c>
      <c r="I326" s="4" t="s">
        <v>121</v>
      </c>
      <c r="J326" s="6">
        <v>-69.58</v>
      </c>
      <c r="K326" s="6" t="str">
        <f t="shared" si="2"/>
        <v>20240729 OC279042X30262-69.58</v>
      </c>
      <c r="L326" s="4" t="str">
        <f>IF(COUNTIF(D:D,D326)&gt;1,"D","N")</f>
        <v>D</v>
      </c>
      <c r="M326" s="4">
        <f>COUNTIFS(D:D,D326,F:F,"UPDATED")</f>
        <v>0</v>
      </c>
      <c r="N326" s="4">
        <f>COUNTIFS(D:D,D326,F:F,"NOT UPDATED")</f>
        <v>3</v>
      </c>
      <c r="O326" s="4">
        <f>COUNTIF(D:D,D326)</f>
        <v>3</v>
      </c>
    </row>
    <row r="327" spans="1:15" hidden="1" x14ac:dyDescent="0.25">
      <c r="A327" s="4">
        <v>53</v>
      </c>
      <c r="B327" s="4" t="s">
        <v>111</v>
      </c>
      <c r="C327" s="7">
        <v>45783</v>
      </c>
      <c r="D327" s="5" t="s">
        <v>119</v>
      </c>
      <c r="E327" s="4" t="e">
        <v>#N/A</v>
      </c>
      <c r="F327" s="4" t="s">
        <v>11</v>
      </c>
      <c r="G327" s="6">
        <v>0</v>
      </c>
      <c r="H327" s="4" t="s">
        <v>15</v>
      </c>
      <c r="I327" s="4" t="s">
        <v>332</v>
      </c>
      <c r="J327" s="6">
        <v>-22072.69</v>
      </c>
      <c r="K327" s="6" t="str">
        <f t="shared" si="2"/>
        <v>20250128 OC371590X13996-22072.69</v>
      </c>
      <c r="L327" s="4" t="str">
        <f>IF(COUNTIF(D:D,D327)&gt;1,"D","N")</f>
        <v>D</v>
      </c>
      <c r="M327" s="4">
        <f>COUNTIFS(D:D,D327,F:F,"UPDATED")</f>
        <v>0</v>
      </c>
      <c r="N327" s="4">
        <f>COUNTIFS(D:D,D327,F:F,"NOT UPDATED")</f>
        <v>3</v>
      </c>
      <c r="O327" s="4">
        <f>COUNTIF(D:D,D327)</f>
        <v>3</v>
      </c>
    </row>
    <row r="328" spans="1:15" hidden="1" x14ac:dyDescent="0.25">
      <c r="A328" s="4">
        <v>68</v>
      </c>
      <c r="B328" s="4" t="s">
        <v>111</v>
      </c>
      <c r="C328" s="7">
        <v>45784</v>
      </c>
      <c r="D328" s="5" t="s">
        <v>122</v>
      </c>
      <c r="E328" s="4" t="e">
        <v>#N/A</v>
      </c>
      <c r="F328" s="4" t="s">
        <v>11</v>
      </c>
      <c r="G328" s="6">
        <v>57.7</v>
      </c>
      <c r="H328" s="4" t="s">
        <v>15</v>
      </c>
      <c r="I328" s="4" t="s">
        <v>120</v>
      </c>
      <c r="J328" s="6">
        <v>104.01</v>
      </c>
      <c r="K328" s="6" t="str">
        <f t="shared" si="2"/>
        <v>20240708 OC269812X10490104.01</v>
      </c>
      <c r="L328" s="4" t="str">
        <f>IF(COUNTIF(D:D,D328)&gt;1,"D","N")</f>
        <v>D</v>
      </c>
      <c r="M328" s="4">
        <f>COUNTIFS(D:D,D328,F:F,"UPDATED")</f>
        <v>0</v>
      </c>
      <c r="N328" s="4">
        <f>COUNTIFS(D:D,D328,F:F,"NOT UPDATED")</f>
        <v>2</v>
      </c>
      <c r="O328" s="4">
        <f>COUNTIF(D:D,D328)</f>
        <v>2</v>
      </c>
    </row>
    <row r="329" spans="1:15" hidden="1" x14ac:dyDescent="0.25">
      <c r="A329" s="4">
        <v>69</v>
      </c>
      <c r="B329" s="4" t="s">
        <v>111</v>
      </c>
      <c r="C329" s="7">
        <v>45784</v>
      </c>
      <c r="D329" s="5" t="s">
        <v>122</v>
      </c>
      <c r="E329" s="4" t="e">
        <v>#N/A</v>
      </c>
      <c r="F329" s="4" t="s">
        <v>11</v>
      </c>
      <c r="G329" s="6">
        <v>57.7</v>
      </c>
      <c r="H329" s="4" t="s">
        <v>15</v>
      </c>
      <c r="I329" s="4" t="s">
        <v>121</v>
      </c>
      <c r="J329" s="6">
        <v>69.58</v>
      </c>
      <c r="K329" s="6" t="str">
        <f t="shared" si="2"/>
        <v>20240729 OC279042X3026269.58</v>
      </c>
      <c r="L329" s="4" t="str">
        <f>IF(COUNTIF(D:D,D329)&gt;1,"D","N")</f>
        <v>D</v>
      </c>
      <c r="M329" s="4">
        <f>COUNTIFS(D:D,D329,F:F,"UPDATED")</f>
        <v>0</v>
      </c>
      <c r="N329" s="4">
        <f>COUNTIFS(D:D,D329,F:F,"NOT UPDATED")</f>
        <v>2</v>
      </c>
      <c r="O329" s="4">
        <f>COUNTIF(D:D,D329)</f>
        <v>2</v>
      </c>
    </row>
    <row r="330" spans="1:15" hidden="1" x14ac:dyDescent="0.25">
      <c r="A330" s="4">
        <v>246</v>
      </c>
      <c r="B330" s="4" t="s">
        <v>111</v>
      </c>
      <c r="C330" s="7">
        <v>45805</v>
      </c>
      <c r="D330" s="5" t="s">
        <v>123</v>
      </c>
      <c r="E330" s="4" t="e">
        <v>#N/A</v>
      </c>
      <c r="F330" s="4" t="s">
        <v>11</v>
      </c>
      <c r="G330" s="6">
        <v>0</v>
      </c>
      <c r="H330" s="4" t="s">
        <v>15</v>
      </c>
      <c r="I330" s="4" t="s">
        <v>124</v>
      </c>
      <c r="J330" s="6">
        <v>-229.54</v>
      </c>
      <c r="K330" s="6" t="str">
        <f t="shared" si="2"/>
        <v>20250122 OC377629X21193-229.54</v>
      </c>
      <c r="L330" s="4" t="str">
        <f>IF(COUNTIF(D:D,D330)&gt;1,"D","N")</f>
        <v>N</v>
      </c>
      <c r="M330" s="4">
        <f>COUNTIFS(D:D,D330,F:F,"UPDATED")</f>
        <v>0</v>
      </c>
      <c r="N330" s="4">
        <f>COUNTIFS(D:D,D330,F:F,"NOT UPDATED")</f>
        <v>1</v>
      </c>
      <c r="O330" s="4">
        <f>COUNTIF(D:D,D330)</f>
        <v>1</v>
      </c>
    </row>
    <row r="331" spans="1:15" hidden="1" x14ac:dyDescent="0.25">
      <c r="A331" s="4">
        <v>261</v>
      </c>
      <c r="B331" s="4" t="s">
        <v>111</v>
      </c>
      <c r="C331" s="7">
        <v>45806</v>
      </c>
      <c r="D331" s="5" t="s">
        <v>125</v>
      </c>
      <c r="E331" s="4" t="e">
        <v>#N/A</v>
      </c>
      <c r="F331" s="4" t="s">
        <v>11</v>
      </c>
      <c r="G331" s="6">
        <v>0</v>
      </c>
      <c r="H331" s="4" t="s">
        <v>15</v>
      </c>
      <c r="I331" s="4" t="s">
        <v>124</v>
      </c>
      <c r="J331" s="6">
        <v>229.54</v>
      </c>
      <c r="K331" s="6" t="str">
        <f t="shared" si="2"/>
        <v>20250122 OC377629X21193229.54</v>
      </c>
      <c r="L331" s="4" t="str">
        <f>IF(COUNTIF(D:D,D331)&gt;1,"D","N")</f>
        <v>D</v>
      </c>
      <c r="M331" s="4">
        <f>COUNTIFS(D:D,D331,F:F,"UPDATED")</f>
        <v>0</v>
      </c>
      <c r="N331" s="4">
        <f>COUNTIFS(D:D,D331,F:F,"NOT UPDATED")</f>
        <v>2</v>
      </c>
      <c r="O331" s="4">
        <f>COUNTIF(D:D,D331)</f>
        <v>2</v>
      </c>
    </row>
    <row r="332" spans="1:15" hidden="1" x14ac:dyDescent="0.25">
      <c r="A332" s="4">
        <v>260</v>
      </c>
      <c r="B332" s="4" t="s">
        <v>111</v>
      </c>
      <c r="C332" s="7">
        <v>45806</v>
      </c>
      <c r="D332" s="5" t="s">
        <v>125</v>
      </c>
      <c r="E332" s="4" t="e">
        <v>#N/A</v>
      </c>
      <c r="F332" s="4" t="s">
        <v>11</v>
      </c>
      <c r="G332" s="6">
        <v>0</v>
      </c>
      <c r="H332" s="4" t="s">
        <v>12</v>
      </c>
      <c r="I332" s="4" t="s">
        <v>125</v>
      </c>
      <c r="J332" s="6">
        <v>-178.7</v>
      </c>
      <c r="K332" s="6" t="str">
        <f t="shared" si="2"/>
        <v>W324281285-178.7</v>
      </c>
      <c r="L332" s="4" t="str">
        <f>IF(COUNTIF(D:D,D332)&gt;1,"D","N")</f>
        <v>D</v>
      </c>
      <c r="M332" s="4">
        <f>COUNTIFS(D:D,D332,F:F,"UPDATED")</f>
        <v>0</v>
      </c>
      <c r="N332" s="4">
        <f>COUNTIFS(D:D,D332,F:F,"NOT UPDATED")</f>
        <v>2</v>
      </c>
      <c r="O332" s="4">
        <f>COUNTIF(D:D,D332)</f>
        <v>2</v>
      </c>
    </row>
    <row r="333" spans="1:15" hidden="1" x14ac:dyDescent="0.25">
      <c r="A333" s="4">
        <v>266</v>
      </c>
      <c r="B333" s="4" t="s">
        <v>111</v>
      </c>
      <c r="C333" s="7">
        <v>45807</v>
      </c>
      <c r="D333" s="5" t="s">
        <v>126</v>
      </c>
      <c r="E333" s="4" t="e">
        <v>#N/A</v>
      </c>
      <c r="F333" s="4" t="s">
        <v>11</v>
      </c>
      <c r="G333" s="6">
        <v>33.72</v>
      </c>
      <c r="H333" s="4" t="s">
        <v>12</v>
      </c>
      <c r="I333" s="4" t="s">
        <v>125</v>
      </c>
      <c r="J333" s="6">
        <v>178.7</v>
      </c>
      <c r="K333" s="6" t="str">
        <f t="shared" si="2"/>
        <v>W324281285178.7</v>
      </c>
      <c r="L333" s="4" t="str">
        <f>IF(COUNTIF(D:D,D333)&gt;1,"D","N")</f>
        <v>D</v>
      </c>
      <c r="M333" s="4">
        <f>COUNTIFS(D:D,D333,F:F,"UPDATED")</f>
        <v>0</v>
      </c>
      <c r="N333" s="4">
        <f>COUNTIFS(D:D,D333,F:F,"NOT UPDATED")</f>
        <v>4</v>
      </c>
      <c r="O333" s="4">
        <f>COUNTIF(D:D,D333)</f>
        <v>4</v>
      </c>
    </row>
    <row r="334" spans="1:15" hidden="1" x14ac:dyDescent="0.25">
      <c r="A334" s="4">
        <v>267</v>
      </c>
      <c r="B334" s="4" t="s">
        <v>111</v>
      </c>
      <c r="C334" s="7">
        <v>45807</v>
      </c>
      <c r="D334" s="5" t="s">
        <v>126</v>
      </c>
      <c r="E334" s="4" t="e">
        <v>#N/A</v>
      </c>
      <c r="F334" s="4" t="s">
        <v>11</v>
      </c>
      <c r="G334" s="6">
        <v>33.72</v>
      </c>
      <c r="H334" s="4" t="s">
        <v>15</v>
      </c>
      <c r="I334" s="4" t="s">
        <v>333</v>
      </c>
      <c r="J334" s="6">
        <v>157.35</v>
      </c>
      <c r="K334" s="6" t="str">
        <f t="shared" si="2"/>
        <v>20240416 OC229738X13996157.35</v>
      </c>
      <c r="L334" s="4" t="str">
        <f>IF(COUNTIF(D:D,D334)&gt;1,"D","N")</f>
        <v>D</v>
      </c>
      <c r="M334" s="4">
        <f>COUNTIFS(D:D,D334,F:F,"UPDATED")</f>
        <v>0</v>
      </c>
      <c r="N334" s="4">
        <f>COUNTIFS(D:D,D334,F:F,"NOT UPDATED")</f>
        <v>4</v>
      </c>
      <c r="O334" s="4">
        <f>COUNTIF(D:D,D334)</f>
        <v>4</v>
      </c>
    </row>
    <row r="335" spans="1:15" hidden="1" x14ac:dyDescent="0.25">
      <c r="A335" s="4">
        <v>268</v>
      </c>
      <c r="B335" s="4" t="s">
        <v>111</v>
      </c>
      <c r="C335" s="7">
        <v>45807</v>
      </c>
      <c r="D335" s="5" t="s">
        <v>126</v>
      </c>
      <c r="E335" s="4" t="e">
        <v>#N/A</v>
      </c>
      <c r="F335" s="4" t="s">
        <v>11</v>
      </c>
      <c r="G335" s="6">
        <v>33.72</v>
      </c>
      <c r="H335" s="4" t="s">
        <v>15</v>
      </c>
      <c r="I335" s="4" t="s">
        <v>334</v>
      </c>
      <c r="J335" s="6">
        <v>157.35</v>
      </c>
      <c r="K335" s="6" t="str">
        <f t="shared" si="2"/>
        <v>20240711 OC271243X13996157.35</v>
      </c>
      <c r="L335" s="4" t="str">
        <f>IF(COUNTIF(D:D,D335)&gt;1,"D","N")</f>
        <v>D</v>
      </c>
      <c r="M335" s="4">
        <f>COUNTIFS(D:D,D335,F:F,"UPDATED")</f>
        <v>0</v>
      </c>
      <c r="N335" s="4">
        <f>COUNTIFS(D:D,D335,F:F,"NOT UPDATED")</f>
        <v>4</v>
      </c>
      <c r="O335" s="4">
        <f>COUNTIF(D:D,D335)</f>
        <v>4</v>
      </c>
    </row>
    <row r="336" spans="1:15" hidden="1" x14ac:dyDescent="0.25">
      <c r="A336" s="4">
        <v>269</v>
      </c>
      <c r="B336" s="4" t="s">
        <v>111</v>
      </c>
      <c r="C336" s="7">
        <v>45807</v>
      </c>
      <c r="D336" s="5" t="s">
        <v>126</v>
      </c>
      <c r="E336" s="4" t="e">
        <v>#N/A</v>
      </c>
      <c r="F336" s="4" t="s">
        <v>11</v>
      </c>
      <c r="G336" s="6">
        <v>33.72</v>
      </c>
      <c r="H336" s="4" t="s">
        <v>15</v>
      </c>
      <c r="I336" s="4" t="s">
        <v>335</v>
      </c>
      <c r="J336" s="6">
        <v>117.72</v>
      </c>
      <c r="K336" s="6" t="str">
        <f t="shared" si="2"/>
        <v>20240712 OC271244X13996117.72</v>
      </c>
      <c r="L336" s="4" t="str">
        <f>IF(COUNTIF(D:D,D336)&gt;1,"D","N")</f>
        <v>D</v>
      </c>
      <c r="M336" s="4">
        <f>COUNTIFS(D:D,D336,F:F,"UPDATED")</f>
        <v>0</v>
      </c>
      <c r="N336" s="4">
        <f>COUNTIFS(D:D,D336,F:F,"NOT UPDATED")</f>
        <v>4</v>
      </c>
      <c r="O336" s="4">
        <f>COUNTIF(D:D,D336)</f>
        <v>4</v>
      </c>
    </row>
  </sheetData>
  <sheetCalcPr fullCalcOnLoad="1"/>
  <autoFilter ref="A1:O336" xr:uid="{FF1E259B-D2ED-4494-800A-CCEDD1B00BB6}">
    <filterColumn colId="10">
      <colorFilter dxfId="5"/>
    </filterColumn>
    <sortState xmlns:xlrd2="http://schemas.microsoft.com/office/spreadsheetml/2017/richdata2" ref="A23:O264">
      <sortCondition ref="K1:K336"/>
    </sortState>
  </autoFilter>
  <conditionalFormatting sqref="D1:D1048576">
    <cfRule type="duplicateValues" dxfId="4" priority="2"/>
  </conditionalFormatting>
  <conditionalFormatting sqref="K1:K1048576">
    <cfRule type="duplicateValues" dxfId="3" priority="1" stopIfTrue="1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BE0A00-62E0-4CDC-9052-21AA6D744774}">
  <sheetPr filterMode="1"/>
  <dimension ref="A1:O443"/>
  <sheetViews>
    <sheetView tabSelected="1" workbookViewId="0">
      <selection activeCell="K3" sqref="K3"/>
    </sheetView>
  </sheetViews>
  <sheetFormatPr defaultRowHeight="15" x14ac:dyDescent="0.25"/>
  <cols>
    <col min="4" max="4" width="24.140625" bestFit="1" customWidth="1"/>
    <col min="6" max="6" width="16" bestFit="1" customWidth="1"/>
    <col min="11" max="11" width="47.425781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809</v>
      </c>
      <c r="L1" s="9" t="s">
        <v>336</v>
      </c>
      <c r="M1" s="10" t="s">
        <v>339</v>
      </c>
      <c r="N1" s="10" t="s">
        <v>11</v>
      </c>
      <c r="O1" s="10" t="s">
        <v>340</v>
      </c>
    </row>
    <row r="2" spans="1:15" x14ac:dyDescent="0.25">
      <c r="A2">
        <v>229</v>
      </c>
      <c r="B2" t="s">
        <v>341</v>
      </c>
      <c r="C2" s="1">
        <v>45793</v>
      </c>
      <c r="D2" t="s">
        <v>579</v>
      </c>
      <c r="E2" t="s">
        <v>579</v>
      </c>
      <c r="F2" t="s">
        <v>339</v>
      </c>
      <c r="G2" s="2">
        <v>16840.86</v>
      </c>
      <c r="H2">
        <v>72</v>
      </c>
      <c r="I2" t="s">
        <v>580</v>
      </c>
      <c r="J2" s="2">
        <v>-52.15</v>
      </c>
      <c r="K2" s="6" t="str">
        <f>I2&amp;J2</f>
        <v>020213265051W500X01.SP531650X4373-52.15</v>
      </c>
      <c r="L2" s="4" t="str">
        <f>IF(COUNTIF(D:D,D2)&gt;1,"D","N")</f>
        <v>D</v>
      </c>
      <c r="M2" s="4">
        <f>COUNTIFS(D:D,D2,F:F,"UPDATED")</f>
        <v>3</v>
      </c>
      <c r="N2" s="4">
        <f>COUNTIFS(D:D,D2,F:F,"NOT UPDATED")</f>
        <v>0</v>
      </c>
      <c r="O2" s="4">
        <f>COUNTIF(D:D,D2)</f>
        <v>3</v>
      </c>
    </row>
    <row r="3" spans="1:15" x14ac:dyDescent="0.25">
      <c r="A3">
        <v>231</v>
      </c>
      <c r="B3" t="s">
        <v>341</v>
      </c>
      <c r="C3" s="1">
        <v>45793</v>
      </c>
      <c r="D3" t="s">
        <v>579</v>
      </c>
      <c r="E3" t="s">
        <v>579</v>
      </c>
      <c r="F3" t="s">
        <v>339</v>
      </c>
      <c r="G3" s="2">
        <v>16840.86</v>
      </c>
      <c r="H3" t="s">
        <v>97</v>
      </c>
      <c r="I3" t="s">
        <v>580</v>
      </c>
      <c r="J3" s="2">
        <v>-52.15</v>
      </c>
      <c r="K3" s="6" t="str">
        <f>I3&amp;J3</f>
        <v>020213265051W500X01.SP531650X4373-52.15</v>
      </c>
      <c r="L3" s="4" t="str">
        <f>IF(COUNTIF(D:D,D3)&gt;1,"D","N")</f>
        <v>D</v>
      </c>
      <c r="M3" s="4">
        <f>COUNTIFS(D:D,D3,F:F,"UPDATED")</f>
        <v>3</v>
      </c>
      <c r="N3" s="4">
        <f>COUNTIFS(D:D,D3,F:F,"NOT UPDATED")</f>
        <v>0</v>
      </c>
      <c r="O3" s="4">
        <f>COUNTIF(D:D,D3)</f>
        <v>3</v>
      </c>
    </row>
    <row r="4" spans="1:15" x14ac:dyDescent="0.25">
      <c r="A4">
        <v>336</v>
      </c>
      <c r="B4" t="s">
        <v>94</v>
      </c>
      <c r="C4" s="1">
        <v>45800</v>
      </c>
      <c r="D4" t="s">
        <v>716</v>
      </c>
      <c r="E4" t="e">
        <v>#N/A</v>
      </c>
      <c r="F4" t="s">
        <v>11</v>
      </c>
      <c r="G4" s="2">
        <v>22203.57</v>
      </c>
      <c r="H4" t="s">
        <v>15</v>
      </c>
      <c r="I4" t="s">
        <v>719</v>
      </c>
      <c r="J4" s="2">
        <v>53.38</v>
      </c>
      <c r="K4" s="6" t="str">
        <f>I4&amp;J4</f>
        <v>02022179506218Z0X.SI10228X567753.38</v>
      </c>
      <c r="L4" s="4" t="str">
        <f>IF(COUNTIF(D:D,D4)&gt;1,"D","N")</f>
        <v>D</v>
      </c>
      <c r="M4" s="4">
        <f>COUNTIFS(D:D,D4,F:F,"UPDATED")</f>
        <v>0</v>
      </c>
      <c r="N4" s="4">
        <f>COUNTIFS(D:D,D4,F:F,"NOT UPDATED")</f>
        <v>4</v>
      </c>
      <c r="O4" s="4">
        <f>COUNTIF(D:D,D4)</f>
        <v>4</v>
      </c>
    </row>
    <row r="5" spans="1:15" x14ac:dyDescent="0.25">
      <c r="A5">
        <v>372</v>
      </c>
      <c r="C5" s="1">
        <v>45800</v>
      </c>
      <c r="D5" t="s">
        <v>744</v>
      </c>
      <c r="E5" t="e">
        <v>#N/A</v>
      </c>
      <c r="F5" t="s">
        <v>11</v>
      </c>
      <c r="G5" s="2">
        <v>22203.57</v>
      </c>
      <c r="H5" t="s">
        <v>15</v>
      </c>
      <c r="I5" t="s">
        <v>719</v>
      </c>
      <c r="J5" s="2">
        <v>53.38</v>
      </c>
      <c r="K5" s="6" t="str">
        <f>I5&amp;J5</f>
        <v>02022179506218Z0X.SI10228X567753.38</v>
      </c>
      <c r="L5" s="4" t="str">
        <f>IF(COUNTIF(D:D,D5)&gt;1,"D","N")</f>
        <v>D</v>
      </c>
      <c r="M5" s="4">
        <f>COUNTIFS(D:D,D5,F:F,"UPDATED")</f>
        <v>0</v>
      </c>
      <c r="N5" s="4">
        <f>COUNTIFS(D:D,D5,F:F,"NOT UPDATED")</f>
        <v>4</v>
      </c>
      <c r="O5" s="4">
        <f>COUNTIF(D:D,D5)</f>
        <v>4</v>
      </c>
    </row>
    <row r="6" spans="1:15" hidden="1" x14ac:dyDescent="0.25">
      <c r="A6">
        <v>5</v>
      </c>
      <c r="B6" t="s">
        <v>345</v>
      </c>
      <c r="C6" s="1">
        <v>45779</v>
      </c>
      <c r="D6">
        <v>825119000290133</v>
      </c>
      <c r="E6" t="e">
        <v>#N/A</v>
      </c>
      <c r="F6" t="s">
        <v>11</v>
      </c>
      <c r="G6" s="2">
        <v>26.55</v>
      </c>
      <c r="H6" t="s">
        <v>12</v>
      </c>
      <c r="I6" s="3">
        <v>925118000000000</v>
      </c>
      <c r="J6" s="2">
        <v>10.33</v>
      </c>
      <c r="K6" s="6" t="str">
        <f>I6&amp;J6</f>
        <v>92511800000000010.33</v>
      </c>
      <c r="L6" s="4" t="str">
        <f>IF(COUNTIF(D:D,D6)&gt;1,"D","N")</f>
        <v>D</v>
      </c>
      <c r="M6" s="4">
        <f>COUNTIFS(D:D,D6,F:F,"UPDATED")</f>
        <v>0</v>
      </c>
      <c r="N6" s="4">
        <f>COUNTIFS(D:D,D6,F:F,"NOT UPDATED")</f>
        <v>3</v>
      </c>
      <c r="O6" s="4">
        <f>COUNTIF(D:D,D6)</f>
        <v>3</v>
      </c>
    </row>
    <row r="7" spans="1:15" hidden="1" x14ac:dyDescent="0.25">
      <c r="A7">
        <v>6</v>
      </c>
      <c r="B7" t="s">
        <v>345</v>
      </c>
      <c r="C7" s="1">
        <v>45779</v>
      </c>
      <c r="D7">
        <v>825119000290133</v>
      </c>
      <c r="E7" t="e">
        <v>#N/A</v>
      </c>
      <c r="F7" t="s">
        <v>11</v>
      </c>
      <c r="G7" s="2">
        <v>26.55</v>
      </c>
      <c r="H7" t="s">
        <v>15</v>
      </c>
      <c r="I7" t="s">
        <v>346</v>
      </c>
      <c r="J7" s="2">
        <v>10.33</v>
      </c>
      <c r="K7" s="6" t="str">
        <f>I7&amp;J7</f>
        <v>ERFDMT7MS0000-SI514713X7825-2025-03-2810.33</v>
      </c>
      <c r="L7" s="4" t="str">
        <f>IF(COUNTIF(D:D,D7)&gt;1,"D","N")</f>
        <v>D</v>
      </c>
      <c r="M7" s="4">
        <f>COUNTIFS(D:D,D7,F:F,"UPDATED")</f>
        <v>0</v>
      </c>
      <c r="N7" s="4">
        <f>COUNTIFS(D:D,D7,F:F,"NOT UPDATED")</f>
        <v>3</v>
      </c>
      <c r="O7" s="4">
        <f>COUNTIF(D:D,D7)</f>
        <v>3</v>
      </c>
    </row>
    <row r="8" spans="1:15" hidden="1" x14ac:dyDescent="0.25">
      <c r="A8">
        <v>7</v>
      </c>
      <c r="B8" t="s">
        <v>345</v>
      </c>
      <c r="C8" s="1">
        <v>45779</v>
      </c>
      <c r="D8">
        <v>825119000290133</v>
      </c>
      <c r="E8" t="e">
        <v>#N/A</v>
      </c>
      <c r="F8" t="s">
        <v>11</v>
      </c>
      <c r="G8" s="2">
        <v>26.55</v>
      </c>
      <c r="H8" t="s">
        <v>29</v>
      </c>
      <c r="I8" t="s">
        <v>346</v>
      </c>
      <c r="J8" s="2">
        <v>-10.33</v>
      </c>
      <c r="K8" s="6" t="str">
        <f>I8&amp;J8</f>
        <v>ERFDMT7MS0000-SI514713X7825-2025-03-28-10.33</v>
      </c>
      <c r="L8" s="4" t="str">
        <f>IF(COUNTIF(D:D,D8)&gt;1,"D","N")</f>
        <v>D</v>
      </c>
      <c r="M8" s="4">
        <f>COUNTIFS(D:D,D8,F:F,"UPDATED")</f>
        <v>0</v>
      </c>
      <c r="N8" s="4">
        <f>COUNTIFS(D:D,D8,F:F,"NOT UPDATED")</f>
        <v>3</v>
      </c>
      <c r="O8" s="4">
        <f>COUNTIF(D:D,D8)</f>
        <v>3</v>
      </c>
    </row>
    <row r="9" spans="1:15" hidden="1" x14ac:dyDescent="0.25">
      <c r="A9">
        <v>8</v>
      </c>
      <c r="B9" t="s">
        <v>345</v>
      </c>
      <c r="C9" s="1">
        <v>45779</v>
      </c>
      <c r="D9">
        <v>925122000229886</v>
      </c>
      <c r="E9">
        <v>925122000229886</v>
      </c>
      <c r="F9" t="s">
        <v>339</v>
      </c>
      <c r="G9" s="2">
        <v>0</v>
      </c>
      <c r="H9" t="s">
        <v>12</v>
      </c>
      <c r="I9" s="3">
        <v>925122000000000</v>
      </c>
      <c r="J9" s="2">
        <v>-118.08</v>
      </c>
      <c r="K9" s="6" t="str">
        <f>I9&amp;J9</f>
        <v>925122000000000-118.08</v>
      </c>
      <c r="L9" s="4" t="str">
        <f>IF(COUNTIF(D:D,D9)&gt;1,"D","N")</f>
        <v>N</v>
      </c>
      <c r="M9" s="4">
        <f>COUNTIFS(D:D,D9,F:F,"UPDATED")</f>
        <v>1</v>
      </c>
      <c r="N9" s="4">
        <f>COUNTIFS(D:D,D9,F:F,"NOT UPDATED")</f>
        <v>0</v>
      </c>
      <c r="O9" s="4">
        <f>COUNTIF(D:D,D9)</f>
        <v>1</v>
      </c>
    </row>
    <row r="10" spans="1:15" hidden="1" x14ac:dyDescent="0.25">
      <c r="A10">
        <v>9</v>
      </c>
      <c r="B10" t="s">
        <v>341</v>
      </c>
      <c r="C10" s="1">
        <v>45779</v>
      </c>
      <c r="D10" t="s">
        <v>347</v>
      </c>
      <c r="E10" t="e">
        <v>#N/A</v>
      </c>
      <c r="F10" t="s">
        <v>11</v>
      </c>
      <c r="G10" s="2">
        <v>196.48</v>
      </c>
      <c r="H10" t="s">
        <v>29</v>
      </c>
      <c r="I10" t="s">
        <v>348</v>
      </c>
      <c r="J10" s="2">
        <v>-91.69</v>
      </c>
      <c r="K10" s="6" t="str">
        <f>I10&amp;J10</f>
        <v>8.0202429950T62220X00.SI416408X65332-91.69</v>
      </c>
      <c r="L10" s="4" t="str">
        <f>IF(COUNTIF(D:D,D10)&gt;1,"D","N")</f>
        <v>N</v>
      </c>
      <c r="M10" s="4">
        <f>COUNTIFS(D:D,D10,F:F,"UPDATED")</f>
        <v>0</v>
      </c>
      <c r="N10" s="4">
        <f>COUNTIFS(D:D,D10,F:F,"NOT UPDATED")</f>
        <v>1</v>
      </c>
      <c r="O10" s="4">
        <f>COUNTIF(D:D,D10)</f>
        <v>1</v>
      </c>
    </row>
    <row r="11" spans="1:15" hidden="1" x14ac:dyDescent="0.25">
      <c r="A11">
        <v>10</v>
      </c>
      <c r="B11" t="s">
        <v>341</v>
      </c>
      <c r="C11" s="1">
        <v>45779</v>
      </c>
      <c r="D11" t="s">
        <v>349</v>
      </c>
      <c r="E11" t="e">
        <v>#N/A</v>
      </c>
      <c r="F11" t="s">
        <v>11</v>
      </c>
      <c r="G11" s="2">
        <v>23750.400000000001</v>
      </c>
      <c r="H11" t="s">
        <v>29</v>
      </c>
      <c r="I11" t="s">
        <v>350</v>
      </c>
      <c r="J11" s="2">
        <v>-129.85</v>
      </c>
      <c r="K11" s="6" t="str">
        <f>I11&amp;J11</f>
        <v>02023157508821X0X00.SI154082X54061-129.85</v>
      </c>
      <c r="L11" s="4" t="str">
        <f>IF(COUNTIF(D:D,D11)&gt;1,"D","N")</f>
        <v>N</v>
      </c>
      <c r="M11" s="4">
        <f>COUNTIFS(D:D,D11,F:F,"UPDATED")</f>
        <v>0</v>
      </c>
      <c r="N11" s="4">
        <f>COUNTIFS(D:D,D11,F:F,"NOT UPDATED")</f>
        <v>1</v>
      </c>
      <c r="O11" s="4">
        <f>COUNTIF(D:D,D11)</f>
        <v>1</v>
      </c>
    </row>
    <row r="12" spans="1:15" hidden="1" x14ac:dyDescent="0.25">
      <c r="A12">
        <v>11</v>
      </c>
      <c r="B12" t="s">
        <v>341</v>
      </c>
      <c r="C12" s="1">
        <v>45779</v>
      </c>
      <c r="D12" t="s">
        <v>351</v>
      </c>
      <c r="E12" t="s">
        <v>351</v>
      </c>
      <c r="F12" t="s">
        <v>339</v>
      </c>
      <c r="G12" s="2">
        <v>0</v>
      </c>
      <c r="H12" t="s">
        <v>194</v>
      </c>
      <c r="I12" t="s">
        <v>352</v>
      </c>
      <c r="J12" s="2">
        <v>-4.47</v>
      </c>
      <c r="K12" s="6" t="str">
        <f>I12&amp;J12</f>
        <v>020242825021S320X00.SI411365X77148-4.47</v>
      </c>
      <c r="L12" s="4" t="str">
        <f>IF(COUNTIF(D:D,D12)&gt;1,"D","N")</f>
        <v>D</v>
      </c>
      <c r="M12" s="4">
        <f>COUNTIFS(D:D,D12,F:F,"UPDATED")</f>
        <v>8</v>
      </c>
      <c r="N12" s="4">
        <f>COUNTIFS(D:D,D12,F:F,"NOT UPDATED")</f>
        <v>0</v>
      </c>
      <c r="O12" s="4">
        <f>COUNTIF(D:D,D12)</f>
        <v>8</v>
      </c>
    </row>
    <row r="13" spans="1:15" hidden="1" x14ac:dyDescent="0.25">
      <c r="A13">
        <v>12</v>
      </c>
      <c r="B13" t="s">
        <v>341</v>
      </c>
      <c r="C13" s="1">
        <v>45779</v>
      </c>
      <c r="D13" t="s">
        <v>351</v>
      </c>
      <c r="E13" t="s">
        <v>351</v>
      </c>
      <c r="F13" t="s">
        <v>339</v>
      </c>
      <c r="G13" s="2">
        <v>0</v>
      </c>
      <c r="H13" t="s">
        <v>194</v>
      </c>
      <c r="I13" t="s">
        <v>353</v>
      </c>
      <c r="J13" s="2">
        <v>-3.43</v>
      </c>
      <c r="K13" s="6" t="str">
        <f>I13&amp;J13</f>
        <v>0202427550778J80X00.SI407224X49252-3.43</v>
      </c>
      <c r="L13" s="4" t="str">
        <f>IF(COUNTIF(D:D,D13)&gt;1,"D","N")</f>
        <v>D</v>
      </c>
      <c r="M13" s="4">
        <f>COUNTIFS(D:D,D13,F:F,"UPDATED")</f>
        <v>8</v>
      </c>
      <c r="N13" s="4">
        <f>COUNTIFS(D:D,D13,F:F,"NOT UPDATED")</f>
        <v>0</v>
      </c>
      <c r="O13" s="4">
        <f>COUNTIF(D:D,D13)</f>
        <v>8</v>
      </c>
    </row>
    <row r="14" spans="1:15" hidden="1" x14ac:dyDescent="0.25">
      <c r="A14">
        <v>13</v>
      </c>
      <c r="B14" t="s">
        <v>341</v>
      </c>
      <c r="C14" s="1">
        <v>45779</v>
      </c>
      <c r="D14" t="s">
        <v>351</v>
      </c>
      <c r="E14" t="s">
        <v>351</v>
      </c>
      <c r="F14" t="s">
        <v>339</v>
      </c>
      <c r="G14" s="2">
        <v>0</v>
      </c>
      <c r="H14" t="s">
        <v>194</v>
      </c>
      <c r="I14" t="s">
        <v>354</v>
      </c>
      <c r="J14" s="2">
        <v>-0.66</v>
      </c>
      <c r="K14" s="6" t="str">
        <f>I14&amp;J14</f>
        <v>02024249508V5450X00.SI390515X13463-0.66</v>
      </c>
      <c r="L14" s="4" t="str">
        <f>IF(COUNTIF(D:D,D14)&gt;1,"D","N")</f>
        <v>D</v>
      </c>
      <c r="M14" s="4">
        <f>COUNTIFS(D:D,D14,F:F,"UPDATED")</f>
        <v>8</v>
      </c>
      <c r="N14" s="4">
        <f>COUNTIFS(D:D,D14,F:F,"NOT UPDATED")</f>
        <v>0</v>
      </c>
      <c r="O14" s="4">
        <f>COUNTIF(D:D,D14)</f>
        <v>8</v>
      </c>
    </row>
    <row r="15" spans="1:15" hidden="1" x14ac:dyDescent="0.25">
      <c r="A15">
        <v>14</v>
      </c>
      <c r="B15" t="s">
        <v>341</v>
      </c>
      <c r="C15" s="1">
        <v>45779</v>
      </c>
      <c r="D15" t="s">
        <v>351</v>
      </c>
      <c r="E15" t="s">
        <v>351</v>
      </c>
      <c r="F15" t="s">
        <v>339</v>
      </c>
      <c r="G15" s="2">
        <v>0</v>
      </c>
      <c r="H15" t="s">
        <v>29</v>
      </c>
      <c r="I15" t="s">
        <v>355</v>
      </c>
      <c r="J15" s="2">
        <v>-90.68</v>
      </c>
      <c r="K15" s="6" t="str">
        <f>I15&amp;J15</f>
        <v>8.020242825021S320X00.SI411365X77148-90.68</v>
      </c>
      <c r="L15" s="4" t="str">
        <f>IF(COUNTIF(D:D,D15)&gt;1,"D","N")</f>
        <v>D</v>
      </c>
      <c r="M15" s="4">
        <f>COUNTIFS(D:D,D15,F:F,"UPDATED")</f>
        <v>8</v>
      </c>
      <c r="N15" s="4">
        <f>COUNTIFS(D:D,D15,F:F,"NOT UPDATED")</f>
        <v>0</v>
      </c>
      <c r="O15" s="4">
        <f>COUNTIF(D:D,D15)</f>
        <v>8</v>
      </c>
    </row>
    <row r="16" spans="1:15" hidden="1" x14ac:dyDescent="0.25">
      <c r="A16">
        <v>15</v>
      </c>
      <c r="B16" t="s">
        <v>341</v>
      </c>
      <c r="C16" s="1">
        <v>45779</v>
      </c>
      <c r="D16" t="s">
        <v>351</v>
      </c>
      <c r="E16" t="s">
        <v>351</v>
      </c>
      <c r="F16" t="s">
        <v>339</v>
      </c>
      <c r="G16" s="2">
        <v>0</v>
      </c>
      <c r="H16" t="s">
        <v>29</v>
      </c>
      <c r="I16" t="s">
        <v>356</v>
      </c>
      <c r="J16" s="2">
        <v>-130.02000000000001</v>
      </c>
      <c r="K16" s="6" t="str">
        <f>I16&amp;J16</f>
        <v>8.0202429150020N10X00.SI416997X76313-130.02</v>
      </c>
      <c r="L16" s="4" t="str">
        <f>IF(COUNTIF(D:D,D16)&gt;1,"D","N")</f>
        <v>D</v>
      </c>
      <c r="M16" s="4">
        <f>COUNTIFS(D:D,D16,F:F,"UPDATED")</f>
        <v>8</v>
      </c>
      <c r="N16" s="4">
        <f>COUNTIFS(D:D,D16,F:F,"NOT UPDATED")</f>
        <v>0</v>
      </c>
      <c r="O16" s="4">
        <f>COUNTIF(D:D,D16)</f>
        <v>8</v>
      </c>
    </row>
    <row r="17" spans="1:15" hidden="1" x14ac:dyDescent="0.25">
      <c r="A17">
        <v>16</v>
      </c>
      <c r="B17" t="s">
        <v>341</v>
      </c>
      <c r="C17" s="1">
        <v>45779</v>
      </c>
      <c r="D17" t="s">
        <v>351</v>
      </c>
      <c r="E17" t="s">
        <v>351</v>
      </c>
      <c r="F17" t="s">
        <v>339</v>
      </c>
      <c r="G17" s="2">
        <v>0</v>
      </c>
      <c r="H17" t="s">
        <v>29</v>
      </c>
      <c r="I17" t="s">
        <v>357</v>
      </c>
      <c r="J17" s="2">
        <v>-165.37</v>
      </c>
      <c r="K17" s="6" t="str">
        <f>I17&amp;J17</f>
        <v>8.02024276507T6130X00.SI408169X83513-165.37</v>
      </c>
      <c r="L17" s="4" t="str">
        <f>IF(COUNTIF(D:D,D17)&gt;1,"D","N")</f>
        <v>D</v>
      </c>
      <c r="M17" s="4">
        <f>COUNTIFS(D:D,D17,F:F,"UPDATED")</f>
        <v>8</v>
      </c>
      <c r="N17" s="4">
        <f>COUNTIFS(D:D,D17,F:F,"NOT UPDATED")</f>
        <v>0</v>
      </c>
      <c r="O17" s="4">
        <f>COUNTIF(D:D,D17)</f>
        <v>8</v>
      </c>
    </row>
    <row r="18" spans="1:15" hidden="1" x14ac:dyDescent="0.25">
      <c r="A18">
        <v>17</v>
      </c>
      <c r="B18" t="s">
        <v>341</v>
      </c>
      <c r="C18" s="1">
        <v>45779</v>
      </c>
      <c r="D18" t="s">
        <v>351</v>
      </c>
      <c r="E18" t="s">
        <v>351</v>
      </c>
      <c r="F18" t="s">
        <v>339</v>
      </c>
      <c r="G18" s="2">
        <v>0</v>
      </c>
      <c r="H18" t="s">
        <v>29</v>
      </c>
      <c r="I18" t="s">
        <v>358</v>
      </c>
      <c r="J18" s="2">
        <v>-51.03</v>
      </c>
      <c r="K18" s="6" t="str">
        <f>I18&amp;J18</f>
        <v>8.0202427550778J80X00.SI407224X49252-51.03</v>
      </c>
      <c r="L18" s="4" t="str">
        <f>IF(COUNTIF(D:D,D18)&gt;1,"D","N")</f>
        <v>D</v>
      </c>
      <c r="M18" s="4">
        <f>COUNTIFS(D:D,D18,F:F,"UPDATED")</f>
        <v>8</v>
      </c>
      <c r="N18" s="4">
        <f>COUNTIFS(D:D,D18,F:F,"NOT UPDATED")</f>
        <v>0</v>
      </c>
      <c r="O18" s="4">
        <f>COUNTIF(D:D,D18)</f>
        <v>8</v>
      </c>
    </row>
    <row r="19" spans="1:15" hidden="1" x14ac:dyDescent="0.25">
      <c r="A19">
        <v>18</v>
      </c>
      <c r="B19" t="s">
        <v>341</v>
      </c>
      <c r="C19" s="1">
        <v>45779</v>
      </c>
      <c r="D19" t="s">
        <v>351</v>
      </c>
      <c r="E19" t="s">
        <v>351</v>
      </c>
      <c r="F19" t="s">
        <v>339</v>
      </c>
      <c r="G19" s="2">
        <v>0</v>
      </c>
      <c r="H19" t="s">
        <v>29</v>
      </c>
      <c r="I19" t="s">
        <v>359</v>
      </c>
      <c r="J19" s="2">
        <v>-40.82</v>
      </c>
      <c r="K19" s="6" t="str">
        <f>I19&amp;J19</f>
        <v>8.02024249508V5450X00.SI390515X13463-40.82</v>
      </c>
      <c r="L19" s="4" t="str">
        <f>IF(COUNTIF(D:D,D19)&gt;1,"D","N")</f>
        <v>D</v>
      </c>
      <c r="M19" s="4">
        <f>COUNTIFS(D:D,D19,F:F,"UPDATED")</f>
        <v>8</v>
      </c>
      <c r="N19" s="4">
        <f>COUNTIFS(D:D,D19,F:F,"NOT UPDATED")</f>
        <v>0</v>
      </c>
      <c r="O19" s="4">
        <f>COUNTIF(D:D,D19)</f>
        <v>8</v>
      </c>
    </row>
    <row r="20" spans="1:15" hidden="1" x14ac:dyDescent="0.25">
      <c r="A20">
        <v>19</v>
      </c>
      <c r="B20" t="s">
        <v>10</v>
      </c>
      <c r="C20" s="1">
        <v>45779</v>
      </c>
      <c r="D20">
        <v>800449115</v>
      </c>
      <c r="E20" t="e">
        <v>#N/A</v>
      </c>
      <c r="F20" t="s">
        <v>11</v>
      </c>
      <c r="G20" t="s">
        <v>360</v>
      </c>
      <c r="H20" t="s">
        <v>12</v>
      </c>
      <c r="I20" t="s">
        <v>361</v>
      </c>
      <c r="J20" s="2">
        <v>-62.74</v>
      </c>
      <c r="K20" s="6" t="str">
        <f>I20&amp;J20</f>
        <v>SI468165X67182-62.74</v>
      </c>
      <c r="L20" s="4" t="str">
        <f>IF(COUNTIF(D:D,D20)&gt;1,"D","N")</f>
        <v>N</v>
      </c>
      <c r="M20" s="4">
        <f>COUNTIFS(D:D,D20,F:F,"UPDATED")</f>
        <v>0</v>
      </c>
      <c r="N20" s="4">
        <f>COUNTIFS(D:D,D20,F:F,"NOT UPDATED")</f>
        <v>1</v>
      </c>
      <c r="O20" s="4">
        <f>COUNTIF(D:D,D20)</f>
        <v>1</v>
      </c>
    </row>
    <row r="21" spans="1:15" hidden="1" x14ac:dyDescent="0.25">
      <c r="A21">
        <v>20</v>
      </c>
      <c r="B21" t="s">
        <v>111</v>
      </c>
      <c r="C21" s="1">
        <v>45779</v>
      </c>
      <c r="D21" t="s">
        <v>362</v>
      </c>
      <c r="E21" t="e">
        <v>#N/A</v>
      </c>
      <c r="F21" t="s">
        <v>11</v>
      </c>
      <c r="G21" s="2">
        <v>0</v>
      </c>
      <c r="H21" t="s">
        <v>15</v>
      </c>
      <c r="I21" t="s">
        <v>363</v>
      </c>
      <c r="J21" s="2">
        <v>-29.51</v>
      </c>
      <c r="K21" s="6" t="str">
        <f>I21&amp;J21</f>
        <v>20250408 SI519458X50532-29.51</v>
      </c>
      <c r="L21" s="4" t="str">
        <f>IF(COUNTIF(D:D,D21)&gt;1,"D","N")</f>
        <v>N</v>
      </c>
      <c r="M21" s="4">
        <f>COUNTIFS(D:D,D21,F:F,"UPDATED")</f>
        <v>0</v>
      </c>
      <c r="N21" s="4">
        <f>COUNTIFS(D:D,D21,F:F,"NOT UPDATED")</f>
        <v>1</v>
      </c>
      <c r="O21" s="4">
        <f>COUNTIF(D:D,D21)</f>
        <v>1</v>
      </c>
    </row>
    <row r="22" spans="1:15" hidden="1" x14ac:dyDescent="0.25">
      <c r="A22">
        <v>21</v>
      </c>
      <c r="B22" t="s">
        <v>345</v>
      </c>
      <c r="C22" s="1">
        <v>45782</v>
      </c>
      <c r="D22">
        <v>882511901011299</v>
      </c>
      <c r="E22" t="e">
        <v>#N/A</v>
      </c>
      <c r="F22" t="s">
        <v>11</v>
      </c>
      <c r="G22" s="2">
        <v>399.19</v>
      </c>
      <c r="H22" t="s">
        <v>15</v>
      </c>
      <c r="I22" t="s">
        <v>364</v>
      </c>
      <c r="J22" s="2">
        <v>-51.39</v>
      </c>
      <c r="K22" s="6" t="str">
        <f>I22&amp;J22</f>
        <v>EGJNMKRFJ0000-SI506986X50288-2025-03-14-51.39</v>
      </c>
      <c r="L22" s="4" t="str">
        <f>IF(COUNTIF(D:D,D22)&gt;1,"D","N")</f>
        <v>N</v>
      </c>
      <c r="M22" s="4">
        <f>COUNTIFS(D:D,D22,F:F,"UPDATED")</f>
        <v>0</v>
      </c>
      <c r="N22" s="4">
        <f>COUNTIFS(D:D,D22,F:F,"NOT UPDATED")</f>
        <v>1</v>
      </c>
      <c r="O22" s="4">
        <f>COUNTIF(D:D,D22)</f>
        <v>1</v>
      </c>
    </row>
    <row r="23" spans="1:15" hidden="1" x14ac:dyDescent="0.25">
      <c r="A23">
        <v>22</v>
      </c>
      <c r="B23" t="s">
        <v>341</v>
      </c>
      <c r="C23" s="1">
        <v>45782</v>
      </c>
      <c r="D23" t="s">
        <v>365</v>
      </c>
      <c r="E23" t="e">
        <v>#N/A</v>
      </c>
      <c r="F23" t="s">
        <v>11</v>
      </c>
      <c r="G23" s="2">
        <v>0</v>
      </c>
      <c r="H23" t="s">
        <v>29</v>
      </c>
      <c r="I23" t="s">
        <v>366</v>
      </c>
      <c r="J23" s="2">
        <v>-127.36</v>
      </c>
      <c r="K23" s="6" t="str">
        <f>I23&amp;J23</f>
        <v>8.0202427050K92710X00.SI403774X31057-127.36</v>
      </c>
      <c r="L23" s="4" t="str">
        <f>IF(COUNTIF(D:D,D23)&gt;1,"D","N")</f>
        <v>N</v>
      </c>
      <c r="M23" s="4">
        <f>COUNTIFS(D:D,D23,F:F,"UPDATED")</f>
        <v>0</v>
      </c>
      <c r="N23" s="4">
        <f>COUNTIFS(D:D,D23,F:F,"NOT UPDATED")</f>
        <v>1</v>
      </c>
      <c r="O23" s="4">
        <f>COUNTIF(D:D,D23)</f>
        <v>1</v>
      </c>
    </row>
    <row r="24" spans="1:15" hidden="1" x14ac:dyDescent="0.25">
      <c r="A24">
        <v>23</v>
      </c>
      <c r="B24" t="s">
        <v>341</v>
      </c>
      <c r="C24" s="1">
        <v>45782</v>
      </c>
      <c r="D24" t="s">
        <v>367</v>
      </c>
      <c r="E24" t="e">
        <v>#N/A</v>
      </c>
      <c r="F24" t="s">
        <v>11</v>
      </c>
      <c r="G24" s="2">
        <v>0</v>
      </c>
      <c r="H24" t="s">
        <v>29</v>
      </c>
      <c r="I24" t="s">
        <v>368</v>
      </c>
      <c r="J24" s="2">
        <v>-83.89</v>
      </c>
      <c r="K24" s="6" t="str">
        <f>I24&amp;J24</f>
        <v>8.0202427850569T70X00.SI409672X92980-83.89</v>
      </c>
      <c r="L24" s="4" t="str">
        <f>IF(COUNTIF(D:D,D24)&gt;1,"D","N")</f>
        <v>D</v>
      </c>
      <c r="M24" s="4">
        <f>COUNTIFS(D:D,D24,F:F,"UPDATED")</f>
        <v>0</v>
      </c>
      <c r="N24" s="4">
        <f>COUNTIFS(D:D,D24,F:F,"NOT UPDATED")</f>
        <v>4</v>
      </c>
      <c r="O24" s="4">
        <f>COUNTIF(D:D,D24)</f>
        <v>4</v>
      </c>
    </row>
    <row r="25" spans="1:15" hidden="1" x14ac:dyDescent="0.25">
      <c r="A25">
        <v>24</v>
      </c>
      <c r="B25" t="s">
        <v>341</v>
      </c>
      <c r="C25" s="1">
        <v>45782</v>
      </c>
      <c r="D25" t="s">
        <v>367</v>
      </c>
      <c r="E25" t="e">
        <v>#N/A</v>
      </c>
      <c r="F25" t="s">
        <v>11</v>
      </c>
      <c r="G25" s="2">
        <v>0</v>
      </c>
      <c r="H25" t="s">
        <v>29</v>
      </c>
      <c r="I25" t="s">
        <v>369</v>
      </c>
      <c r="J25" s="2">
        <v>-122.56</v>
      </c>
      <c r="K25" s="6" t="str">
        <f>I25&amp;J25</f>
        <v>8.0202427850753T30X00.SI409671X92980-122.56</v>
      </c>
      <c r="L25" s="4" t="str">
        <f>IF(COUNTIF(D:D,D25)&gt;1,"D","N")</f>
        <v>D</v>
      </c>
      <c r="M25" s="4">
        <f>COUNTIFS(D:D,D25,F:F,"UPDATED")</f>
        <v>0</v>
      </c>
      <c r="N25" s="4">
        <f>COUNTIFS(D:D,D25,F:F,"NOT UPDATED")</f>
        <v>4</v>
      </c>
      <c r="O25" s="4">
        <f>COUNTIF(D:D,D25)</f>
        <v>4</v>
      </c>
    </row>
    <row r="26" spans="1:15" hidden="1" x14ac:dyDescent="0.25">
      <c r="A26">
        <v>25</v>
      </c>
      <c r="B26" t="s">
        <v>341</v>
      </c>
      <c r="C26" s="1">
        <v>45782</v>
      </c>
      <c r="D26" t="s">
        <v>367</v>
      </c>
      <c r="E26" t="e">
        <v>#N/A</v>
      </c>
      <c r="F26" t="s">
        <v>11</v>
      </c>
      <c r="G26" s="2">
        <v>0</v>
      </c>
      <c r="H26" t="s">
        <v>29</v>
      </c>
      <c r="I26" t="s">
        <v>370</v>
      </c>
      <c r="J26" s="2">
        <v>-90.8</v>
      </c>
      <c r="K26" s="6" t="str">
        <f>I26&amp;J26</f>
        <v>8.020242985026N520X00.SI421664X93306-90.8</v>
      </c>
      <c r="L26" s="4" t="str">
        <f>IF(COUNTIF(D:D,D26)&gt;1,"D","N")</f>
        <v>D</v>
      </c>
      <c r="M26" s="4">
        <f>COUNTIFS(D:D,D26,F:F,"UPDATED")</f>
        <v>0</v>
      </c>
      <c r="N26" s="4">
        <f>COUNTIFS(D:D,D26,F:F,"NOT UPDATED")</f>
        <v>4</v>
      </c>
      <c r="O26" s="4">
        <f>COUNTIF(D:D,D26)</f>
        <v>4</v>
      </c>
    </row>
    <row r="27" spans="1:15" hidden="1" x14ac:dyDescent="0.25">
      <c r="A27">
        <v>26</v>
      </c>
      <c r="B27" t="s">
        <v>341</v>
      </c>
      <c r="C27" s="1">
        <v>45782</v>
      </c>
      <c r="D27" t="s">
        <v>367</v>
      </c>
      <c r="E27" t="e">
        <v>#N/A</v>
      </c>
      <c r="F27" t="s">
        <v>11</v>
      </c>
      <c r="G27" s="2">
        <v>0</v>
      </c>
      <c r="H27" t="s">
        <v>29</v>
      </c>
      <c r="I27" t="s">
        <v>371</v>
      </c>
      <c r="J27" s="2">
        <v>-120.51</v>
      </c>
      <c r="K27" s="6" t="str">
        <f>I27&amp;J27</f>
        <v>8.02024297509100B0X00.SI422028X16943-120.51</v>
      </c>
      <c r="L27" s="4" t="str">
        <f>IF(COUNTIF(D:D,D27)&gt;1,"D","N")</f>
        <v>D</v>
      </c>
      <c r="M27" s="4">
        <f>COUNTIFS(D:D,D27,F:F,"UPDATED")</f>
        <v>0</v>
      </c>
      <c r="N27" s="4">
        <f>COUNTIFS(D:D,D27,F:F,"NOT UPDATED")</f>
        <v>4</v>
      </c>
      <c r="O27" s="4">
        <f>COUNTIF(D:D,D27)</f>
        <v>4</v>
      </c>
    </row>
    <row r="28" spans="1:15" hidden="1" x14ac:dyDescent="0.25">
      <c r="A28">
        <v>27</v>
      </c>
      <c r="B28" t="s">
        <v>78</v>
      </c>
      <c r="C28" s="1">
        <v>45782</v>
      </c>
      <c r="D28" t="s">
        <v>372</v>
      </c>
      <c r="E28" t="e">
        <v>#N/A</v>
      </c>
      <c r="F28" t="s">
        <v>11</v>
      </c>
      <c r="G28" s="2">
        <v>0</v>
      </c>
      <c r="H28" t="s">
        <v>15</v>
      </c>
      <c r="I28" t="s">
        <v>373</v>
      </c>
      <c r="J28" s="2">
        <v>96.26</v>
      </c>
      <c r="K28" s="6" t="str">
        <f>I28&amp;J28</f>
        <v>SI416394X89722 242900AEVX0196.26</v>
      </c>
      <c r="L28" s="4" t="str">
        <f>IF(COUNTIF(D:D,D28)&gt;1,"D","N")</f>
        <v>N</v>
      </c>
      <c r="M28" s="4">
        <f>COUNTIFS(D:D,D28,F:F,"UPDATED")</f>
        <v>0</v>
      </c>
      <c r="N28" s="4">
        <f>COUNTIFS(D:D,D28,F:F,"NOT UPDATED")</f>
        <v>1</v>
      </c>
      <c r="O28" s="4">
        <f>COUNTIF(D:D,D28)</f>
        <v>1</v>
      </c>
    </row>
    <row r="29" spans="1:15" hidden="1" x14ac:dyDescent="0.25">
      <c r="A29">
        <v>28</v>
      </c>
      <c r="B29" t="s">
        <v>345</v>
      </c>
      <c r="C29" s="1">
        <v>45783</v>
      </c>
      <c r="D29">
        <v>825121000403659</v>
      </c>
      <c r="E29" t="e">
        <v>#N/A</v>
      </c>
      <c r="F29" t="s">
        <v>11</v>
      </c>
      <c r="G29" s="2">
        <v>5726.48</v>
      </c>
      <c r="H29" t="s">
        <v>15</v>
      </c>
      <c r="I29" t="s">
        <v>374</v>
      </c>
      <c r="J29" s="2">
        <v>118.08</v>
      </c>
      <c r="K29" s="6" t="str">
        <f>I29&amp;J29</f>
        <v>EZADJVVSG0000-SI483318X74577-2025-02-05118.08</v>
      </c>
      <c r="L29" s="4" t="str">
        <f>IF(COUNTIF(D:D,D29)&gt;1,"D","N")</f>
        <v>D</v>
      </c>
      <c r="M29" s="4">
        <f>COUNTIFS(D:D,D29,F:F,"UPDATED")</f>
        <v>0</v>
      </c>
      <c r="N29" s="4">
        <f>COUNTIFS(D:D,D29,F:F,"NOT UPDATED")</f>
        <v>2</v>
      </c>
      <c r="O29" s="4">
        <f>COUNTIF(D:D,D29)</f>
        <v>2</v>
      </c>
    </row>
    <row r="30" spans="1:15" hidden="1" x14ac:dyDescent="0.25">
      <c r="A30">
        <v>29</v>
      </c>
      <c r="B30" t="s">
        <v>345</v>
      </c>
      <c r="C30" s="1">
        <v>45783</v>
      </c>
      <c r="D30">
        <v>825121000403659</v>
      </c>
      <c r="E30" t="e">
        <v>#N/A</v>
      </c>
      <c r="F30" t="s">
        <v>11</v>
      </c>
      <c r="G30" s="2">
        <v>5726.48</v>
      </c>
      <c r="H30" t="s">
        <v>29</v>
      </c>
      <c r="I30" t="s">
        <v>374</v>
      </c>
      <c r="J30" s="2">
        <v>-118.08</v>
      </c>
      <c r="K30" s="6" t="str">
        <f>I30&amp;J30</f>
        <v>EZADJVVSG0000-SI483318X74577-2025-02-05-118.08</v>
      </c>
      <c r="L30" s="4" t="str">
        <f>IF(COUNTIF(D:D,D30)&gt;1,"D","N")</f>
        <v>D</v>
      </c>
      <c r="M30" s="4">
        <f>COUNTIFS(D:D,D30,F:F,"UPDATED")</f>
        <v>0</v>
      </c>
      <c r="N30" s="4">
        <f>COUNTIFS(D:D,D30,F:F,"NOT UPDATED")</f>
        <v>2</v>
      </c>
      <c r="O30" s="4">
        <f>COUNTIF(D:D,D30)</f>
        <v>2</v>
      </c>
    </row>
    <row r="31" spans="1:15" hidden="1" x14ac:dyDescent="0.25">
      <c r="A31">
        <v>30</v>
      </c>
      <c r="B31" t="s">
        <v>345</v>
      </c>
      <c r="C31" s="1">
        <v>45783</v>
      </c>
      <c r="D31">
        <v>882512001000951</v>
      </c>
      <c r="E31" t="e">
        <v>#N/A</v>
      </c>
      <c r="F31" t="s">
        <v>11</v>
      </c>
      <c r="G31" s="2">
        <v>9020.52</v>
      </c>
      <c r="H31" t="s">
        <v>15</v>
      </c>
      <c r="I31" t="s">
        <v>375</v>
      </c>
      <c r="J31" s="2">
        <v>-64.239999999999995</v>
      </c>
      <c r="K31" s="6" t="str">
        <f>I31&amp;J31</f>
        <v>EQADMYP490000-SI516460X28981-2025-04-01-64.24</v>
      </c>
      <c r="L31" s="4" t="str">
        <f>IF(COUNTIF(D:D,D31)&gt;1,"D","N")</f>
        <v>D</v>
      </c>
      <c r="M31" s="4">
        <f>COUNTIFS(D:D,D31,F:F,"UPDATED")</f>
        <v>0</v>
      </c>
      <c r="N31" s="4">
        <f>COUNTIFS(D:D,D31,F:F,"NOT UPDATED")</f>
        <v>2</v>
      </c>
      <c r="O31" s="4">
        <f>COUNTIF(D:D,D31)</f>
        <v>2</v>
      </c>
    </row>
    <row r="32" spans="1:15" hidden="1" x14ac:dyDescent="0.25">
      <c r="A32">
        <v>31</v>
      </c>
      <c r="B32" t="s">
        <v>345</v>
      </c>
      <c r="C32" s="1">
        <v>45783</v>
      </c>
      <c r="D32">
        <v>882512001000951</v>
      </c>
      <c r="E32" t="e">
        <v>#N/A</v>
      </c>
      <c r="F32" t="s">
        <v>11</v>
      </c>
      <c r="G32" s="2">
        <v>9020.52</v>
      </c>
      <c r="H32" t="s">
        <v>15</v>
      </c>
      <c r="I32" t="s">
        <v>376</v>
      </c>
      <c r="J32" s="2">
        <v>-51.7</v>
      </c>
      <c r="K32" s="6" t="str">
        <f>I32&amp;J32</f>
        <v>E9RWKHWZ70001-SI509912X81848-2025-03-18-51.7</v>
      </c>
      <c r="L32" s="4" t="str">
        <f>IF(COUNTIF(D:D,D32)&gt;1,"D","N")</f>
        <v>D</v>
      </c>
      <c r="M32" s="4">
        <f>COUNTIFS(D:D,D32,F:F,"UPDATED")</f>
        <v>0</v>
      </c>
      <c r="N32" s="4">
        <f>COUNTIFS(D:D,D32,F:F,"NOT UPDATED")</f>
        <v>2</v>
      </c>
      <c r="O32" s="4">
        <f>COUNTIF(D:D,D32)</f>
        <v>2</v>
      </c>
    </row>
    <row r="33" spans="1:15" hidden="1" x14ac:dyDescent="0.25">
      <c r="A33">
        <v>32</v>
      </c>
      <c r="B33" t="s">
        <v>341</v>
      </c>
      <c r="C33" s="1">
        <v>45783</v>
      </c>
      <c r="D33" t="s">
        <v>377</v>
      </c>
      <c r="E33" t="e">
        <v>#N/A</v>
      </c>
      <c r="F33" t="s">
        <v>11</v>
      </c>
      <c r="G33" s="2">
        <v>6.36</v>
      </c>
      <c r="H33" t="s">
        <v>29</v>
      </c>
      <c r="I33" t="s">
        <v>378</v>
      </c>
      <c r="J33" s="2">
        <v>-161.08000000000001</v>
      </c>
      <c r="K33" s="6" t="str">
        <f>I33&amp;J33</f>
        <v>02024274505320T0X00.SI405405X20996-161.08</v>
      </c>
      <c r="L33" s="4" t="str">
        <f>IF(COUNTIF(D:D,D33)&gt;1,"D","N")</f>
        <v>N</v>
      </c>
      <c r="M33" s="4">
        <f>COUNTIFS(D:D,D33,F:F,"UPDATED")</f>
        <v>0</v>
      </c>
      <c r="N33" s="4">
        <f>COUNTIFS(D:D,D33,F:F,"NOT UPDATED")</f>
        <v>1</v>
      </c>
      <c r="O33" s="4">
        <f>COUNTIF(D:D,D33)</f>
        <v>1</v>
      </c>
    </row>
    <row r="34" spans="1:15" x14ac:dyDescent="0.25">
      <c r="A34">
        <v>244</v>
      </c>
      <c r="B34" t="s">
        <v>341</v>
      </c>
      <c r="C34" s="1">
        <v>45796</v>
      </c>
      <c r="D34" t="s">
        <v>598</v>
      </c>
      <c r="E34" t="s">
        <v>598</v>
      </c>
      <c r="F34" t="s">
        <v>339</v>
      </c>
      <c r="G34" t="s">
        <v>599</v>
      </c>
      <c r="H34">
        <v>72</v>
      </c>
      <c r="I34" t="s">
        <v>600</v>
      </c>
      <c r="J34" s="2">
        <v>-93.84</v>
      </c>
      <c r="K34" s="6" t="str">
        <f>I34&amp;J34</f>
        <v>02022294504H7490X00.SI47486X28135-93.84</v>
      </c>
      <c r="L34" s="4" t="str">
        <f>IF(COUNTIF(D:D,D34)&gt;1,"D","N")</f>
        <v>D</v>
      </c>
      <c r="M34" s="4">
        <f>COUNTIFS(D:D,D34,F:F,"UPDATED")</f>
        <v>6</v>
      </c>
      <c r="N34" s="4">
        <f>COUNTIFS(D:D,D34,F:F,"NOT UPDATED")</f>
        <v>0</v>
      </c>
      <c r="O34" s="4">
        <f>COUNTIF(D:D,D34)</f>
        <v>6</v>
      </c>
    </row>
    <row r="35" spans="1:15" hidden="1" x14ac:dyDescent="0.25">
      <c r="A35">
        <v>34</v>
      </c>
      <c r="B35" t="s">
        <v>341</v>
      </c>
      <c r="C35" s="1">
        <v>45783</v>
      </c>
      <c r="D35" t="s">
        <v>379</v>
      </c>
      <c r="E35" t="s">
        <v>379</v>
      </c>
      <c r="F35" t="s">
        <v>339</v>
      </c>
      <c r="G35" t="s">
        <v>380</v>
      </c>
      <c r="H35" t="s">
        <v>15</v>
      </c>
      <c r="I35" t="s">
        <v>381</v>
      </c>
      <c r="J35" s="2">
        <v>6.2</v>
      </c>
      <c r="K35" s="6" t="str">
        <f>I35&amp;J35</f>
        <v>02025007509A0040X01.SI463188X247246.2</v>
      </c>
      <c r="L35" s="4" t="str">
        <f>IF(COUNTIF(D:D,D35)&gt;1,"D","N")</f>
        <v>D</v>
      </c>
      <c r="M35" s="4">
        <f>COUNTIFS(D:D,D35,F:F,"UPDATED")</f>
        <v>5</v>
      </c>
      <c r="N35" s="4">
        <f>COUNTIFS(D:D,D35,F:F,"NOT UPDATED")</f>
        <v>0</v>
      </c>
      <c r="O35" s="4">
        <f>COUNTIF(D:D,D35)</f>
        <v>5</v>
      </c>
    </row>
    <row r="36" spans="1:15" x14ac:dyDescent="0.25">
      <c r="A36">
        <v>246</v>
      </c>
      <c r="B36" t="s">
        <v>341</v>
      </c>
      <c r="C36" s="1">
        <v>45796</v>
      </c>
      <c r="D36" t="s">
        <v>598</v>
      </c>
      <c r="E36" t="s">
        <v>598</v>
      </c>
      <c r="F36" t="s">
        <v>339</v>
      </c>
      <c r="G36" t="s">
        <v>599</v>
      </c>
      <c r="H36" t="s">
        <v>97</v>
      </c>
      <c r="I36" t="s">
        <v>600</v>
      </c>
      <c r="J36" s="2">
        <v>-93.84</v>
      </c>
      <c r="K36" s="6" t="str">
        <f>I36&amp;J36</f>
        <v>02022294504H7490X00.SI47486X28135-93.84</v>
      </c>
      <c r="L36" s="4" t="str">
        <f>IF(COUNTIF(D:D,D36)&gt;1,"D","N")</f>
        <v>D</v>
      </c>
      <c r="M36" s="4">
        <f>COUNTIFS(D:D,D36,F:F,"UPDATED")</f>
        <v>6</v>
      </c>
      <c r="N36" s="4">
        <f>COUNTIFS(D:D,D36,F:F,"NOT UPDATED")</f>
        <v>0</v>
      </c>
      <c r="O36" s="4">
        <f>COUNTIF(D:D,D36)</f>
        <v>6</v>
      </c>
    </row>
    <row r="37" spans="1:15" hidden="1" x14ac:dyDescent="0.25">
      <c r="A37">
        <v>36</v>
      </c>
      <c r="B37" t="s">
        <v>341</v>
      </c>
      <c r="C37" s="1">
        <v>45783</v>
      </c>
      <c r="D37" t="s">
        <v>379</v>
      </c>
      <c r="E37" t="s">
        <v>379</v>
      </c>
      <c r="F37" t="s">
        <v>339</v>
      </c>
      <c r="G37" t="s">
        <v>380</v>
      </c>
      <c r="H37" t="s">
        <v>29</v>
      </c>
      <c r="I37" t="s">
        <v>382</v>
      </c>
      <c r="J37" s="2">
        <v>-113.42</v>
      </c>
      <c r="K37" s="6" t="str">
        <f>I37&amp;J37</f>
        <v>0202412750203P90X00.SI308637X77604-113.42</v>
      </c>
      <c r="L37" s="4" t="str">
        <f>IF(COUNTIF(D:D,D37)&gt;1,"D","N")</f>
        <v>D</v>
      </c>
      <c r="M37" s="4">
        <f>COUNTIFS(D:D,D37,F:F,"UPDATED")</f>
        <v>5</v>
      </c>
      <c r="N37" s="4">
        <f>COUNTIFS(D:D,D37,F:F,"NOT UPDATED")</f>
        <v>0</v>
      </c>
      <c r="O37" s="4">
        <f>COUNTIF(D:D,D37)</f>
        <v>5</v>
      </c>
    </row>
    <row r="38" spans="1:15" hidden="1" x14ac:dyDescent="0.25">
      <c r="A38">
        <v>37</v>
      </c>
      <c r="B38" t="s">
        <v>341</v>
      </c>
      <c r="C38" s="1">
        <v>45783</v>
      </c>
      <c r="D38" t="s">
        <v>379</v>
      </c>
      <c r="E38" t="s">
        <v>379</v>
      </c>
      <c r="F38" t="s">
        <v>339</v>
      </c>
      <c r="G38" t="s">
        <v>380</v>
      </c>
      <c r="H38" t="s">
        <v>29</v>
      </c>
      <c r="I38" t="s">
        <v>383</v>
      </c>
      <c r="J38" s="2">
        <v>-55</v>
      </c>
      <c r="K38" s="6" t="str">
        <f>I38&amp;J38</f>
        <v>02025008507712H0X00.SI464370X88039-55</v>
      </c>
      <c r="L38" s="4" t="str">
        <f>IF(COUNTIF(D:D,D38)&gt;1,"D","N")</f>
        <v>D</v>
      </c>
      <c r="M38" s="4">
        <f>COUNTIFS(D:D,D38,F:F,"UPDATED")</f>
        <v>5</v>
      </c>
      <c r="N38" s="4">
        <f>COUNTIFS(D:D,D38,F:F,"NOT UPDATED")</f>
        <v>0</v>
      </c>
      <c r="O38" s="4">
        <f>COUNTIF(D:D,D38)</f>
        <v>5</v>
      </c>
    </row>
    <row r="39" spans="1:15" x14ac:dyDescent="0.25">
      <c r="A39">
        <v>334</v>
      </c>
      <c r="B39" t="s">
        <v>94</v>
      </c>
      <c r="C39" s="1">
        <v>45800</v>
      </c>
      <c r="D39" t="s">
        <v>716</v>
      </c>
      <c r="E39" t="e">
        <v>#N/A</v>
      </c>
      <c r="F39" t="s">
        <v>11</v>
      </c>
      <c r="G39" s="2">
        <v>22203.57</v>
      </c>
      <c r="H39" t="s">
        <v>15</v>
      </c>
      <c r="I39" t="s">
        <v>717</v>
      </c>
      <c r="J39" s="2">
        <v>139.37</v>
      </c>
      <c r="K39" s="6" t="str">
        <f>I39&amp;J39</f>
        <v>0202311650C86910X.SI73106X23136139.37</v>
      </c>
      <c r="L39" s="4" t="str">
        <f>IF(COUNTIF(D:D,D39)&gt;1,"D","N")</f>
        <v>D</v>
      </c>
      <c r="M39" s="4">
        <f>COUNTIFS(D:D,D39,F:F,"UPDATED")</f>
        <v>0</v>
      </c>
      <c r="N39" s="4">
        <f>COUNTIFS(D:D,D39,F:F,"NOT UPDATED")</f>
        <v>4</v>
      </c>
      <c r="O39" s="4">
        <f>COUNTIF(D:D,D39)</f>
        <v>4</v>
      </c>
    </row>
    <row r="40" spans="1:15" hidden="1" x14ac:dyDescent="0.25">
      <c r="A40">
        <v>39</v>
      </c>
      <c r="B40" t="s">
        <v>341</v>
      </c>
      <c r="C40" s="1">
        <v>45783</v>
      </c>
      <c r="D40" t="s">
        <v>384</v>
      </c>
      <c r="E40" t="e">
        <v>#N/A</v>
      </c>
      <c r="F40" t="s">
        <v>11</v>
      </c>
      <c r="G40" s="2">
        <v>11997.26</v>
      </c>
      <c r="H40" t="s">
        <v>15</v>
      </c>
      <c r="I40" t="s">
        <v>385</v>
      </c>
      <c r="J40" s="2">
        <v>44.47</v>
      </c>
      <c r="K40" s="6" t="str">
        <f>I40&amp;J40</f>
        <v>0202502950Z05730X01.SI476177X2810344.47</v>
      </c>
      <c r="L40" s="4" t="str">
        <f>IF(COUNTIF(D:D,D40)&gt;1,"D","N")</f>
        <v>D</v>
      </c>
      <c r="M40" s="4">
        <f>COUNTIFS(D:D,D40,F:F,"UPDATED")</f>
        <v>0</v>
      </c>
      <c r="N40" s="4">
        <f>COUNTIFS(D:D,D40,F:F,"NOT UPDATED")</f>
        <v>3</v>
      </c>
      <c r="O40" s="4">
        <f>COUNTIF(D:D,D40)</f>
        <v>3</v>
      </c>
    </row>
    <row r="41" spans="1:15" x14ac:dyDescent="0.25">
      <c r="A41">
        <v>370</v>
      </c>
      <c r="B41" t="s">
        <v>94</v>
      </c>
      <c r="C41" s="1">
        <v>45800</v>
      </c>
      <c r="D41" t="s">
        <v>744</v>
      </c>
      <c r="E41" t="e">
        <v>#N/A</v>
      </c>
      <c r="F41" t="s">
        <v>11</v>
      </c>
      <c r="G41" s="2">
        <v>22203.57</v>
      </c>
      <c r="H41" t="s">
        <v>15</v>
      </c>
      <c r="I41" t="s">
        <v>717</v>
      </c>
      <c r="J41" s="2">
        <v>139.37</v>
      </c>
      <c r="K41" s="6" t="str">
        <f>I41&amp;J41</f>
        <v>0202311650C86910X.SI73106X23136139.37</v>
      </c>
      <c r="L41" s="4" t="str">
        <f>IF(COUNTIF(D:D,D41)&gt;1,"D","N")</f>
        <v>D</v>
      </c>
      <c r="M41" s="4">
        <f>COUNTIFS(D:D,D41,F:F,"UPDATED")</f>
        <v>0</v>
      </c>
      <c r="N41" s="4">
        <f>COUNTIFS(D:D,D41,F:F,"NOT UPDATED")</f>
        <v>4</v>
      </c>
      <c r="O41" s="4">
        <f>COUNTIF(D:D,D41)</f>
        <v>4</v>
      </c>
    </row>
    <row r="42" spans="1:15" hidden="1" x14ac:dyDescent="0.25">
      <c r="A42">
        <v>41</v>
      </c>
      <c r="B42" t="s">
        <v>341</v>
      </c>
      <c r="C42" s="1">
        <v>45783</v>
      </c>
      <c r="D42" t="s">
        <v>386</v>
      </c>
      <c r="E42" t="e">
        <v>#N/A</v>
      </c>
      <c r="F42" t="s">
        <v>11</v>
      </c>
      <c r="G42" s="2">
        <v>0</v>
      </c>
      <c r="H42" t="s">
        <v>29</v>
      </c>
      <c r="I42" t="s">
        <v>387</v>
      </c>
      <c r="J42" s="2">
        <v>-65.52</v>
      </c>
      <c r="K42" s="6" t="str">
        <f>I42&amp;J42</f>
        <v>8.02024032504Y9700X01.SI259868X7672-65.52</v>
      </c>
      <c r="L42" s="4" t="str">
        <f>IF(COUNTIF(D:D,D42)&gt;1,"D","N")</f>
        <v>D</v>
      </c>
      <c r="M42" s="4">
        <f>COUNTIFS(D:D,D42,F:F,"UPDATED")</f>
        <v>0</v>
      </c>
      <c r="N42" s="4">
        <f>COUNTIFS(D:D,D42,F:F,"NOT UPDATED")</f>
        <v>33</v>
      </c>
      <c r="O42" s="4">
        <f>COUNTIF(D:D,D42)</f>
        <v>33</v>
      </c>
    </row>
    <row r="43" spans="1:15" hidden="1" x14ac:dyDescent="0.25">
      <c r="A43">
        <v>42</v>
      </c>
      <c r="B43" t="s">
        <v>341</v>
      </c>
      <c r="C43" s="1">
        <v>45783</v>
      </c>
      <c r="D43" t="s">
        <v>386</v>
      </c>
      <c r="E43" t="e">
        <v>#N/A</v>
      </c>
      <c r="F43" t="s">
        <v>11</v>
      </c>
      <c r="G43" s="2">
        <v>0</v>
      </c>
      <c r="H43" t="s">
        <v>29</v>
      </c>
      <c r="I43" t="s">
        <v>388</v>
      </c>
      <c r="J43" s="2">
        <v>-57.09</v>
      </c>
      <c r="K43" s="6" t="str">
        <f>I43&amp;J43</f>
        <v>8.0202431950K04230X00.SI433615X15452-57.09</v>
      </c>
      <c r="L43" s="4" t="str">
        <f>IF(COUNTIF(D:D,D43)&gt;1,"D","N")</f>
        <v>D</v>
      </c>
      <c r="M43" s="4">
        <f>COUNTIFS(D:D,D43,F:F,"UPDATED")</f>
        <v>0</v>
      </c>
      <c r="N43" s="4">
        <f>COUNTIFS(D:D,D43,F:F,"NOT UPDATED")</f>
        <v>33</v>
      </c>
      <c r="O43" s="4">
        <f>COUNTIF(D:D,D43)</f>
        <v>33</v>
      </c>
    </row>
    <row r="44" spans="1:15" hidden="1" x14ac:dyDescent="0.25">
      <c r="A44">
        <v>43</v>
      </c>
      <c r="B44" t="s">
        <v>341</v>
      </c>
      <c r="C44" s="1">
        <v>45783</v>
      </c>
      <c r="D44" t="s">
        <v>386</v>
      </c>
      <c r="E44" t="e">
        <v>#N/A</v>
      </c>
      <c r="F44" t="s">
        <v>11</v>
      </c>
      <c r="G44" s="2">
        <v>0</v>
      </c>
      <c r="H44" t="s">
        <v>29</v>
      </c>
      <c r="I44" t="s">
        <v>389</v>
      </c>
      <c r="J44" s="2">
        <v>-31.74</v>
      </c>
      <c r="K44" s="6" t="str">
        <f>I44&amp;J44</f>
        <v>8.0202427750K86720X00.SI408803X49618-31.74</v>
      </c>
      <c r="L44" s="4" t="str">
        <f>IF(COUNTIF(D:D,D44)&gt;1,"D","N")</f>
        <v>D</v>
      </c>
      <c r="M44" s="4">
        <f>COUNTIFS(D:D,D44,F:F,"UPDATED")</f>
        <v>0</v>
      </c>
      <c r="N44" s="4">
        <f>COUNTIFS(D:D,D44,F:F,"NOT UPDATED")</f>
        <v>33</v>
      </c>
      <c r="O44" s="4">
        <f>COUNTIF(D:D,D44)</f>
        <v>33</v>
      </c>
    </row>
    <row r="45" spans="1:15" hidden="1" x14ac:dyDescent="0.25">
      <c r="A45">
        <v>44</v>
      </c>
      <c r="B45" t="s">
        <v>341</v>
      </c>
      <c r="C45" s="1">
        <v>45783</v>
      </c>
      <c r="D45" t="s">
        <v>386</v>
      </c>
      <c r="E45" t="e">
        <v>#N/A</v>
      </c>
      <c r="F45" t="s">
        <v>11</v>
      </c>
      <c r="G45" s="2">
        <v>0</v>
      </c>
      <c r="H45" t="s">
        <v>29</v>
      </c>
      <c r="I45" t="s">
        <v>390</v>
      </c>
      <c r="J45" s="2">
        <v>-86.27</v>
      </c>
      <c r="K45" s="6" t="str">
        <f>I45&amp;J45</f>
        <v>8.02024312505508N0X00.SI428536X17136-86.27</v>
      </c>
      <c r="L45" s="4" t="str">
        <f>IF(COUNTIF(D:D,D45)&gt;1,"D","N")</f>
        <v>D</v>
      </c>
      <c r="M45" s="4">
        <f>COUNTIFS(D:D,D45,F:F,"UPDATED")</f>
        <v>0</v>
      </c>
      <c r="N45" s="4">
        <f>COUNTIFS(D:D,D45,F:F,"NOT UPDATED")</f>
        <v>33</v>
      </c>
      <c r="O45" s="4">
        <f>COUNTIF(D:D,D45)</f>
        <v>33</v>
      </c>
    </row>
    <row r="46" spans="1:15" hidden="1" x14ac:dyDescent="0.25">
      <c r="A46">
        <v>45</v>
      </c>
      <c r="B46" t="s">
        <v>341</v>
      </c>
      <c r="C46" s="1">
        <v>45783</v>
      </c>
      <c r="D46" t="s">
        <v>386</v>
      </c>
      <c r="E46" t="e">
        <v>#N/A</v>
      </c>
      <c r="F46" t="s">
        <v>11</v>
      </c>
      <c r="G46" s="2">
        <v>0</v>
      </c>
      <c r="H46" t="s">
        <v>29</v>
      </c>
      <c r="I46" s="3" t="s">
        <v>391</v>
      </c>
      <c r="J46" s="2">
        <v>-73.349999999999994</v>
      </c>
      <c r="K46" s="6" t="str">
        <f>I46&amp;J46</f>
        <v>8.02024313505E3200X01.SI430450X95485-73.35</v>
      </c>
      <c r="L46" s="4" t="str">
        <f>IF(COUNTIF(D:D,D46)&gt;1,"D","N")</f>
        <v>D</v>
      </c>
      <c r="M46" s="4">
        <f>COUNTIFS(D:D,D46,F:F,"UPDATED")</f>
        <v>0</v>
      </c>
      <c r="N46" s="4">
        <f>COUNTIFS(D:D,D46,F:F,"NOT UPDATED")</f>
        <v>33</v>
      </c>
      <c r="O46" s="4">
        <f>COUNTIF(D:D,D46)</f>
        <v>33</v>
      </c>
    </row>
    <row r="47" spans="1:15" hidden="1" x14ac:dyDescent="0.25">
      <c r="A47">
        <v>46</v>
      </c>
      <c r="B47" t="s">
        <v>341</v>
      </c>
      <c r="C47" s="1">
        <v>45783</v>
      </c>
      <c r="D47" t="s">
        <v>386</v>
      </c>
      <c r="E47" t="e">
        <v>#N/A</v>
      </c>
      <c r="F47" t="s">
        <v>11</v>
      </c>
      <c r="G47" s="2">
        <v>0</v>
      </c>
      <c r="H47" t="s">
        <v>29</v>
      </c>
      <c r="I47" s="3" t="s">
        <v>392</v>
      </c>
      <c r="J47" s="2">
        <v>-110.31</v>
      </c>
      <c r="K47" s="6" t="str">
        <f>I47&amp;J47</f>
        <v>8.02024313506E8430X01.SI430448X95485-110.31</v>
      </c>
      <c r="L47" s="4" t="str">
        <f>IF(COUNTIF(D:D,D47)&gt;1,"D","N")</f>
        <v>D</v>
      </c>
      <c r="M47" s="4">
        <f>COUNTIFS(D:D,D47,F:F,"UPDATED")</f>
        <v>0</v>
      </c>
      <c r="N47" s="4">
        <f>COUNTIFS(D:D,D47,F:F,"NOT UPDATED")</f>
        <v>33</v>
      </c>
      <c r="O47" s="4">
        <f>COUNTIF(D:D,D47)</f>
        <v>33</v>
      </c>
    </row>
    <row r="48" spans="1:15" hidden="1" x14ac:dyDescent="0.25">
      <c r="A48">
        <v>47</v>
      </c>
      <c r="B48" t="s">
        <v>341</v>
      </c>
      <c r="C48" s="1">
        <v>45783</v>
      </c>
      <c r="D48" t="s">
        <v>386</v>
      </c>
      <c r="E48" t="e">
        <v>#N/A</v>
      </c>
      <c r="F48" t="s">
        <v>11</v>
      </c>
      <c r="G48" s="2">
        <v>0</v>
      </c>
      <c r="H48" t="s">
        <v>29</v>
      </c>
      <c r="I48" t="s">
        <v>393</v>
      </c>
      <c r="J48" s="2">
        <v>-75.510000000000005</v>
      </c>
      <c r="K48" s="6" t="str">
        <f>I48&amp;J48</f>
        <v>8.02024313507C6970X01.SI430451X95485-75.51</v>
      </c>
      <c r="L48" s="4" t="str">
        <f>IF(COUNTIF(D:D,D48)&gt;1,"D","N")</f>
        <v>D</v>
      </c>
      <c r="M48" s="4">
        <f>COUNTIFS(D:D,D48,F:F,"UPDATED")</f>
        <v>0</v>
      </c>
      <c r="N48" s="4">
        <f>COUNTIFS(D:D,D48,F:F,"NOT UPDATED")</f>
        <v>33</v>
      </c>
      <c r="O48" s="4">
        <f>COUNTIF(D:D,D48)</f>
        <v>33</v>
      </c>
    </row>
    <row r="49" spans="1:15" hidden="1" x14ac:dyDescent="0.25">
      <c r="A49">
        <v>48</v>
      </c>
      <c r="B49" t="s">
        <v>341</v>
      </c>
      <c r="C49" s="1">
        <v>45783</v>
      </c>
      <c r="D49" t="s">
        <v>386</v>
      </c>
      <c r="E49" t="e">
        <v>#N/A</v>
      </c>
      <c r="F49" t="s">
        <v>11</v>
      </c>
      <c r="G49" s="2">
        <v>0</v>
      </c>
      <c r="H49" t="s">
        <v>29</v>
      </c>
      <c r="I49" t="s">
        <v>394</v>
      </c>
      <c r="J49" s="2">
        <v>-97.46</v>
      </c>
      <c r="K49" s="6" t="str">
        <f>I49&amp;J49</f>
        <v>8.0202427550005C70X00.SI407422X66768-97.46</v>
      </c>
      <c r="L49" s="4" t="str">
        <f>IF(COUNTIF(D:D,D49)&gt;1,"D","N")</f>
        <v>D</v>
      </c>
      <c r="M49" s="4">
        <f>COUNTIFS(D:D,D49,F:F,"UPDATED")</f>
        <v>0</v>
      </c>
      <c r="N49" s="4">
        <f>COUNTIFS(D:D,D49,F:F,"NOT UPDATED")</f>
        <v>33</v>
      </c>
      <c r="O49" s="4">
        <f>COUNTIF(D:D,D49)</f>
        <v>33</v>
      </c>
    </row>
    <row r="50" spans="1:15" hidden="1" x14ac:dyDescent="0.25">
      <c r="A50">
        <v>49</v>
      </c>
      <c r="B50" t="s">
        <v>341</v>
      </c>
      <c r="C50" s="1">
        <v>45783</v>
      </c>
      <c r="D50" t="s">
        <v>386</v>
      </c>
      <c r="E50" t="e">
        <v>#N/A</v>
      </c>
      <c r="F50" t="s">
        <v>11</v>
      </c>
      <c r="G50" s="2">
        <v>0</v>
      </c>
      <c r="H50" t="s">
        <v>29</v>
      </c>
      <c r="I50" t="s">
        <v>395</v>
      </c>
      <c r="J50" s="2">
        <v>-110.76</v>
      </c>
      <c r="K50" s="6" t="str">
        <f>I50&amp;J50</f>
        <v>8.02024312509340L0X00.SI425405X14355-110.76</v>
      </c>
      <c r="L50" s="4" t="str">
        <f>IF(COUNTIF(D:D,D50)&gt;1,"D","N")</f>
        <v>D</v>
      </c>
      <c r="M50" s="4">
        <f>COUNTIFS(D:D,D50,F:F,"UPDATED")</f>
        <v>0</v>
      </c>
      <c r="N50" s="4">
        <f>COUNTIFS(D:D,D50,F:F,"NOT UPDATED")</f>
        <v>33</v>
      </c>
      <c r="O50" s="4">
        <f>COUNTIF(D:D,D50)</f>
        <v>33</v>
      </c>
    </row>
    <row r="51" spans="1:15" hidden="1" x14ac:dyDescent="0.25">
      <c r="A51">
        <v>50</v>
      </c>
      <c r="B51" t="s">
        <v>341</v>
      </c>
      <c r="C51" s="1">
        <v>45783</v>
      </c>
      <c r="D51" t="s">
        <v>386</v>
      </c>
      <c r="E51" t="e">
        <v>#N/A</v>
      </c>
      <c r="F51" t="s">
        <v>11</v>
      </c>
      <c r="G51" s="2">
        <v>0</v>
      </c>
      <c r="H51" t="s">
        <v>29</v>
      </c>
      <c r="I51" t="s">
        <v>396</v>
      </c>
      <c r="J51" s="2">
        <v>-66.61</v>
      </c>
      <c r="K51" s="6" t="str">
        <f>I51&amp;J51</f>
        <v>8.0202431050T99050X00.SI428325X55473-66.61</v>
      </c>
      <c r="L51" s="4" t="str">
        <f>IF(COUNTIF(D:D,D51)&gt;1,"D","N")</f>
        <v>D</v>
      </c>
      <c r="M51" s="4">
        <f>COUNTIFS(D:D,D51,F:F,"UPDATED")</f>
        <v>0</v>
      </c>
      <c r="N51" s="4">
        <f>COUNTIFS(D:D,D51,F:F,"NOT UPDATED")</f>
        <v>33</v>
      </c>
      <c r="O51" s="4">
        <f>COUNTIF(D:D,D51)</f>
        <v>33</v>
      </c>
    </row>
    <row r="52" spans="1:15" hidden="1" x14ac:dyDescent="0.25">
      <c r="A52">
        <v>51</v>
      </c>
      <c r="B52" t="s">
        <v>341</v>
      </c>
      <c r="C52" s="1">
        <v>45783</v>
      </c>
      <c r="D52" t="s">
        <v>386</v>
      </c>
      <c r="E52" t="e">
        <v>#N/A</v>
      </c>
      <c r="F52" t="s">
        <v>11</v>
      </c>
      <c r="G52" s="2">
        <v>0</v>
      </c>
      <c r="H52" t="s">
        <v>29</v>
      </c>
      <c r="I52" s="3" t="s">
        <v>397</v>
      </c>
      <c r="J52" s="2">
        <v>-107.25</v>
      </c>
      <c r="K52" s="6" t="str">
        <f>I52&amp;J52</f>
        <v>8.02024313506E8100X00.SI430646X14559-107.25</v>
      </c>
      <c r="L52" s="4" t="str">
        <f>IF(COUNTIF(D:D,D52)&gt;1,"D","N")</f>
        <v>D</v>
      </c>
      <c r="M52" s="4">
        <f>COUNTIFS(D:D,D52,F:F,"UPDATED")</f>
        <v>0</v>
      </c>
      <c r="N52" s="4">
        <f>COUNTIFS(D:D,D52,F:F,"NOT UPDATED")</f>
        <v>33</v>
      </c>
      <c r="O52" s="4">
        <f>COUNTIF(D:D,D52)</f>
        <v>33</v>
      </c>
    </row>
    <row r="53" spans="1:15" hidden="1" x14ac:dyDescent="0.25">
      <c r="A53">
        <v>52</v>
      </c>
      <c r="B53" t="s">
        <v>341</v>
      </c>
      <c r="C53" s="1">
        <v>45783</v>
      </c>
      <c r="D53" t="s">
        <v>386</v>
      </c>
      <c r="E53" t="e">
        <v>#N/A</v>
      </c>
      <c r="F53" t="s">
        <v>11</v>
      </c>
      <c r="G53" s="2">
        <v>0</v>
      </c>
      <c r="H53" t="s">
        <v>29</v>
      </c>
      <c r="I53" t="s">
        <v>398</v>
      </c>
      <c r="J53" s="2">
        <v>-93.85</v>
      </c>
      <c r="K53" s="6" t="str">
        <f>I53&amp;J53</f>
        <v>8.0202430650V75990X00.SI426700X35583-93.85</v>
      </c>
      <c r="L53" s="4" t="str">
        <f>IF(COUNTIF(D:D,D53)&gt;1,"D","N")</f>
        <v>D</v>
      </c>
      <c r="M53" s="4">
        <f>COUNTIFS(D:D,D53,F:F,"UPDATED")</f>
        <v>0</v>
      </c>
      <c r="N53" s="4">
        <f>COUNTIFS(D:D,D53,F:F,"NOT UPDATED")</f>
        <v>33</v>
      </c>
      <c r="O53" s="4">
        <f>COUNTIF(D:D,D53)</f>
        <v>33</v>
      </c>
    </row>
    <row r="54" spans="1:15" hidden="1" x14ac:dyDescent="0.25">
      <c r="A54">
        <v>53</v>
      </c>
      <c r="B54" t="s">
        <v>341</v>
      </c>
      <c r="C54" s="1">
        <v>45783</v>
      </c>
      <c r="D54" t="s">
        <v>386</v>
      </c>
      <c r="E54" t="e">
        <v>#N/A</v>
      </c>
      <c r="F54" t="s">
        <v>11</v>
      </c>
      <c r="G54" s="2">
        <v>0</v>
      </c>
      <c r="H54" t="s">
        <v>29</v>
      </c>
      <c r="I54" t="s">
        <v>399</v>
      </c>
      <c r="J54" s="2">
        <v>-66.61</v>
      </c>
      <c r="K54" s="6" t="str">
        <f>I54&amp;J54</f>
        <v>8.02024316500K4150X00.SI431680X165-66.61</v>
      </c>
      <c r="L54" s="4" t="str">
        <f>IF(COUNTIF(D:D,D54)&gt;1,"D","N")</f>
        <v>D</v>
      </c>
      <c r="M54" s="4">
        <f>COUNTIFS(D:D,D54,F:F,"UPDATED")</f>
        <v>0</v>
      </c>
      <c r="N54" s="4">
        <f>COUNTIFS(D:D,D54,F:F,"NOT UPDATED")</f>
        <v>33</v>
      </c>
      <c r="O54" s="4">
        <f>COUNTIF(D:D,D54)</f>
        <v>33</v>
      </c>
    </row>
    <row r="55" spans="1:15" hidden="1" x14ac:dyDescent="0.25">
      <c r="A55">
        <v>54</v>
      </c>
      <c r="B55" t="s">
        <v>341</v>
      </c>
      <c r="C55" s="1">
        <v>45783</v>
      </c>
      <c r="D55" t="s">
        <v>386</v>
      </c>
      <c r="E55" t="e">
        <v>#N/A</v>
      </c>
      <c r="F55" t="s">
        <v>11</v>
      </c>
      <c r="G55" s="2">
        <v>0</v>
      </c>
      <c r="H55" t="s">
        <v>29</v>
      </c>
      <c r="I55" t="s">
        <v>400</v>
      </c>
      <c r="J55" s="2">
        <v>-93.85</v>
      </c>
      <c r="K55" s="6" t="str">
        <f>I55&amp;J55</f>
        <v>8.0202431750K45880X00.SI432558X44334-93.85</v>
      </c>
      <c r="L55" s="4" t="str">
        <f>IF(COUNTIF(D:D,D55)&gt;1,"D","N")</f>
        <v>D</v>
      </c>
      <c r="M55" s="4">
        <f>COUNTIFS(D:D,D55,F:F,"UPDATED")</f>
        <v>0</v>
      </c>
      <c r="N55" s="4">
        <f>COUNTIFS(D:D,D55,F:F,"NOT UPDATED")</f>
        <v>33</v>
      </c>
      <c r="O55" s="4">
        <f>COUNTIF(D:D,D55)</f>
        <v>33</v>
      </c>
    </row>
    <row r="56" spans="1:15" hidden="1" x14ac:dyDescent="0.25">
      <c r="A56">
        <v>55</v>
      </c>
      <c r="B56" t="s">
        <v>341</v>
      </c>
      <c r="C56" s="1">
        <v>45783</v>
      </c>
      <c r="D56" t="s">
        <v>386</v>
      </c>
      <c r="E56" t="e">
        <v>#N/A</v>
      </c>
      <c r="F56" t="s">
        <v>11</v>
      </c>
      <c r="G56" s="2">
        <v>0</v>
      </c>
      <c r="H56" t="s">
        <v>29</v>
      </c>
      <c r="I56" t="s">
        <v>401</v>
      </c>
      <c r="J56" s="2">
        <v>-17.079999999999998</v>
      </c>
      <c r="K56" s="6" t="str">
        <f>I56&amp;J56</f>
        <v>8.0202431950H93850X00.SI433705X65147-17.08</v>
      </c>
      <c r="L56" s="4" t="str">
        <f>IF(COUNTIF(D:D,D56)&gt;1,"D","N")</f>
        <v>D</v>
      </c>
      <c r="M56" s="4">
        <f>COUNTIFS(D:D,D56,F:F,"UPDATED")</f>
        <v>0</v>
      </c>
      <c r="N56" s="4">
        <f>COUNTIFS(D:D,D56,F:F,"NOT UPDATED")</f>
        <v>33</v>
      </c>
      <c r="O56" s="4">
        <f>COUNTIF(D:D,D56)</f>
        <v>33</v>
      </c>
    </row>
    <row r="57" spans="1:15" hidden="1" x14ac:dyDescent="0.25">
      <c r="A57">
        <v>56</v>
      </c>
      <c r="B57" t="s">
        <v>341</v>
      </c>
      <c r="C57" s="1">
        <v>45783</v>
      </c>
      <c r="D57" t="s">
        <v>386</v>
      </c>
      <c r="E57" t="e">
        <v>#N/A</v>
      </c>
      <c r="F57" t="s">
        <v>11</v>
      </c>
      <c r="G57" s="2">
        <v>0</v>
      </c>
      <c r="H57" t="s">
        <v>29</v>
      </c>
      <c r="I57" t="s">
        <v>402</v>
      </c>
      <c r="J57" s="2">
        <v>-71.37</v>
      </c>
      <c r="K57" s="6" t="str">
        <f>I57&amp;J57</f>
        <v>8.0202431750K51490X00.SI432692X39874-71.37</v>
      </c>
      <c r="L57" s="4" t="str">
        <f>IF(COUNTIF(D:D,D57)&gt;1,"D","N")</f>
        <v>D</v>
      </c>
      <c r="M57" s="4">
        <f>COUNTIFS(D:D,D57,F:F,"UPDATED")</f>
        <v>0</v>
      </c>
      <c r="N57" s="4">
        <f>COUNTIFS(D:D,D57,F:F,"NOT UPDATED")</f>
        <v>33</v>
      </c>
      <c r="O57" s="4">
        <f>COUNTIF(D:D,D57)</f>
        <v>33</v>
      </c>
    </row>
    <row r="58" spans="1:15" hidden="1" x14ac:dyDescent="0.25">
      <c r="A58">
        <v>57</v>
      </c>
      <c r="B58" t="s">
        <v>341</v>
      </c>
      <c r="C58" s="1">
        <v>45783</v>
      </c>
      <c r="D58" t="s">
        <v>386</v>
      </c>
      <c r="E58" t="e">
        <v>#N/A</v>
      </c>
      <c r="F58" t="s">
        <v>11</v>
      </c>
      <c r="G58" s="2">
        <v>0</v>
      </c>
      <c r="H58" t="s">
        <v>29</v>
      </c>
      <c r="I58" t="s">
        <v>403</v>
      </c>
      <c r="J58" s="2">
        <v>-57.09</v>
      </c>
      <c r="K58" s="6" t="str">
        <f>I58&amp;J58</f>
        <v>8.02024316500K0160X00.SI431350X41041-57.09</v>
      </c>
      <c r="L58" s="4" t="str">
        <f>IF(COUNTIF(D:D,D58)&gt;1,"D","N")</f>
        <v>D</v>
      </c>
      <c r="M58" s="4">
        <f>COUNTIFS(D:D,D58,F:F,"UPDATED")</f>
        <v>0</v>
      </c>
      <c r="N58" s="4">
        <f>COUNTIFS(D:D,D58,F:F,"NOT UPDATED")</f>
        <v>33</v>
      </c>
      <c r="O58" s="4">
        <f>COUNTIF(D:D,D58)</f>
        <v>33</v>
      </c>
    </row>
    <row r="59" spans="1:15" hidden="1" x14ac:dyDescent="0.25">
      <c r="A59">
        <v>58</v>
      </c>
      <c r="B59" t="s">
        <v>341</v>
      </c>
      <c r="C59" s="1">
        <v>45783</v>
      </c>
      <c r="D59" t="s">
        <v>386</v>
      </c>
      <c r="E59" t="e">
        <v>#N/A</v>
      </c>
      <c r="F59" t="s">
        <v>11</v>
      </c>
      <c r="G59" s="2">
        <v>0</v>
      </c>
      <c r="H59" t="s">
        <v>29</v>
      </c>
      <c r="I59" t="s">
        <v>404</v>
      </c>
      <c r="J59" s="2">
        <v>-69.94</v>
      </c>
      <c r="K59" s="6" t="str">
        <f>I59&amp;J59</f>
        <v>8.0202430650Y77270X00.SI426560X79269-69.94</v>
      </c>
      <c r="L59" s="4" t="str">
        <f>IF(COUNTIF(D:D,D59)&gt;1,"D","N")</f>
        <v>D</v>
      </c>
      <c r="M59" s="4">
        <f>COUNTIFS(D:D,D59,F:F,"UPDATED")</f>
        <v>0</v>
      </c>
      <c r="N59" s="4">
        <f>COUNTIFS(D:D,D59,F:F,"NOT UPDATED")</f>
        <v>33</v>
      </c>
      <c r="O59" s="4">
        <f>COUNTIF(D:D,D59)</f>
        <v>33</v>
      </c>
    </row>
    <row r="60" spans="1:15" hidden="1" x14ac:dyDescent="0.25">
      <c r="A60">
        <v>59</v>
      </c>
      <c r="B60" t="s">
        <v>341</v>
      </c>
      <c r="C60" s="1">
        <v>45783</v>
      </c>
      <c r="D60" t="s">
        <v>386</v>
      </c>
      <c r="E60" t="e">
        <v>#N/A</v>
      </c>
      <c r="F60" t="s">
        <v>11</v>
      </c>
      <c r="G60" s="2">
        <v>0</v>
      </c>
      <c r="H60" t="s">
        <v>29</v>
      </c>
      <c r="I60" t="s">
        <v>405</v>
      </c>
      <c r="J60" s="2">
        <v>-12.81</v>
      </c>
      <c r="K60" s="6" t="str">
        <f>I60&amp;J60</f>
        <v>8.0202431350094C70X00.SI429422X5964-12.81</v>
      </c>
      <c r="L60" s="4" t="str">
        <f>IF(COUNTIF(D:D,D60)&gt;1,"D","N")</f>
        <v>D</v>
      </c>
      <c r="M60" s="4">
        <f>COUNTIFS(D:D,D60,F:F,"UPDATED")</f>
        <v>0</v>
      </c>
      <c r="N60" s="4">
        <f>COUNTIFS(D:D,D60,F:F,"NOT UPDATED")</f>
        <v>33</v>
      </c>
      <c r="O60" s="4">
        <f>COUNTIF(D:D,D60)</f>
        <v>33</v>
      </c>
    </row>
    <row r="61" spans="1:15" hidden="1" x14ac:dyDescent="0.25">
      <c r="A61">
        <v>60</v>
      </c>
      <c r="B61" t="s">
        <v>341</v>
      </c>
      <c r="C61" s="1">
        <v>45783</v>
      </c>
      <c r="D61" t="s">
        <v>386</v>
      </c>
      <c r="E61" t="e">
        <v>#N/A</v>
      </c>
      <c r="F61" t="s">
        <v>11</v>
      </c>
      <c r="G61" s="2">
        <v>0</v>
      </c>
      <c r="H61" t="s">
        <v>29</v>
      </c>
      <c r="I61" t="s">
        <v>406</v>
      </c>
      <c r="J61" s="2">
        <v>-57.09</v>
      </c>
      <c r="K61" s="6" t="str">
        <f>I61&amp;J61</f>
        <v>8.02024318508920A0X00.SI433230X6472-57.09</v>
      </c>
      <c r="L61" s="4" t="str">
        <f>IF(COUNTIF(D:D,D61)&gt;1,"D","N")</f>
        <v>D</v>
      </c>
      <c r="M61" s="4">
        <f>COUNTIFS(D:D,D61,F:F,"UPDATED")</f>
        <v>0</v>
      </c>
      <c r="N61" s="4">
        <f>COUNTIFS(D:D,D61,F:F,"NOT UPDATED")</f>
        <v>33</v>
      </c>
      <c r="O61" s="4">
        <f>COUNTIF(D:D,D61)</f>
        <v>33</v>
      </c>
    </row>
    <row r="62" spans="1:15" hidden="1" x14ac:dyDescent="0.25">
      <c r="A62">
        <v>61</v>
      </c>
      <c r="B62" t="s">
        <v>341</v>
      </c>
      <c r="C62" s="1">
        <v>45783</v>
      </c>
      <c r="D62" t="s">
        <v>386</v>
      </c>
      <c r="E62" t="e">
        <v>#N/A</v>
      </c>
      <c r="F62" t="s">
        <v>11</v>
      </c>
      <c r="G62" s="2">
        <v>0</v>
      </c>
      <c r="H62" t="s">
        <v>29</v>
      </c>
      <c r="I62" t="s">
        <v>407</v>
      </c>
      <c r="J62" s="2">
        <v>-146</v>
      </c>
      <c r="K62" s="6" t="str">
        <f>I62&amp;J62</f>
        <v>8.02024309501U8730X00.SI427327X94887-146</v>
      </c>
      <c r="L62" s="4" t="str">
        <f>IF(COUNTIF(D:D,D62)&gt;1,"D","N")</f>
        <v>D</v>
      </c>
      <c r="M62" s="4">
        <f>COUNTIFS(D:D,D62,F:F,"UPDATED")</f>
        <v>0</v>
      </c>
      <c r="N62" s="4">
        <f>COUNTIFS(D:D,D62,F:F,"NOT UPDATED")</f>
        <v>33</v>
      </c>
      <c r="O62" s="4">
        <f>COUNTIF(D:D,D62)</f>
        <v>33</v>
      </c>
    </row>
    <row r="63" spans="1:15" hidden="1" x14ac:dyDescent="0.25">
      <c r="A63">
        <v>62</v>
      </c>
      <c r="B63" t="s">
        <v>341</v>
      </c>
      <c r="C63" s="1">
        <v>45783</v>
      </c>
      <c r="D63" t="s">
        <v>386</v>
      </c>
      <c r="E63" t="e">
        <v>#N/A</v>
      </c>
      <c r="F63" t="s">
        <v>11</v>
      </c>
      <c r="G63" s="2">
        <v>0</v>
      </c>
      <c r="H63" t="s">
        <v>29</v>
      </c>
      <c r="I63" t="s">
        <v>408</v>
      </c>
      <c r="J63" s="2">
        <v>-67.03</v>
      </c>
      <c r="K63" s="6" t="str">
        <f>I63&amp;J63</f>
        <v>8.020243125015Z970X00.SI429974X6904-67.03</v>
      </c>
      <c r="L63" s="4" t="str">
        <f>IF(COUNTIF(D:D,D63)&gt;1,"D","N")</f>
        <v>D</v>
      </c>
      <c r="M63" s="4">
        <f>COUNTIFS(D:D,D63,F:F,"UPDATED")</f>
        <v>0</v>
      </c>
      <c r="N63" s="4">
        <f>COUNTIFS(D:D,D63,F:F,"NOT UPDATED")</f>
        <v>33</v>
      </c>
      <c r="O63" s="4">
        <f>COUNTIF(D:D,D63)</f>
        <v>33</v>
      </c>
    </row>
    <row r="64" spans="1:15" hidden="1" x14ac:dyDescent="0.25">
      <c r="A64">
        <v>63</v>
      </c>
      <c r="B64" t="s">
        <v>341</v>
      </c>
      <c r="C64" s="1">
        <v>45783</v>
      </c>
      <c r="D64" t="s">
        <v>386</v>
      </c>
      <c r="E64" t="e">
        <v>#N/A</v>
      </c>
      <c r="F64" t="s">
        <v>11</v>
      </c>
      <c r="G64" s="2">
        <v>0</v>
      </c>
      <c r="H64" t="s">
        <v>29</v>
      </c>
      <c r="I64" t="s">
        <v>409</v>
      </c>
      <c r="J64" s="2">
        <v>-153.1</v>
      </c>
      <c r="K64" s="6" t="str">
        <f>I64&amp;J64</f>
        <v>8.02024309500U1200X00.SI427496X3048-153.1</v>
      </c>
      <c r="L64" s="4" t="str">
        <f>IF(COUNTIF(D:D,D64)&gt;1,"D","N")</f>
        <v>D</v>
      </c>
      <c r="M64" s="4">
        <f>COUNTIFS(D:D,D64,F:F,"UPDATED")</f>
        <v>0</v>
      </c>
      <c r="N64" s="4">
        <f>COUNTIFS(D:D,D64,F:F,"NOT UPDATED")</f>
        <v>33</v>
      </c>
      <c r="O64" s="4">
        <f>COUNTIF(D:D,D64)</f>
        <v>33</v>
      </c>
    </row>
    <row r="65" spans="1:15" hidden="1" x14ac:dyDescent="0.25">
      <c r="A65">
        <v>64</v>
      </c>
      <c r="B65" t="s">
        <v>341</v>
      </c>
      <c r="C65" s="1">
        <v>45783</v>
      </c>
      <c r="D65" t="s">
        <v>386</v>
      </c>
      <c r="E65" t="e">
        <v>#N/A</v>
      </c>
      <c r="F65" t="s">
        <v>11</v>
      </c>
      <c r="G65" s="2">
        <v>0</v>
      </c>
      <c r="H65" t="s">
        <v>29</v>
      </c>
      <c r="I65" t="s">
        <v>410</v>
      </c>
      <c r="J65" s="2">
        <v>-3.01</v>
      </c>
      <c r="K65" s="6" t="str">
        <f>I65&amp;J65</f>
        <v>8.02024312507407N0X00.SI429348X7442-3.01</v>
      </c>
      <c r="L65" s="4" t="str">
        <f>IF(COUNTIF(D:D,D65)&gt;1,"D","N")</f>
        <v>D</v>
      </c>
      <c r="M65" s="4">
        <f>COUNTIFS(D:D,D65,F:F,"UPDATED")</f>
        <v>0</v>
      </c>
      <c r="N65" s="4">
        <f>COUNTIFS(D:D,D65,F:F,"NOT UPDATED")</f>
        <v>33</v>
      </c>
      <c r="O65" s="4">
        <f>COUNTIF(D:D,D65)</f>
        <v>33</v>
      </c>
    </row>
    <row r="66" spans="1:15" hidden="1" x14ac:dyDescent="0.25">
      <c r="A66">
        <v>65</v>
      </c>
      <c r="B66" t="s">
        <v>341</v>
      </c>
      <c r="C66" s="1">
        <v>45783</v>
      </c>
      <c r="D66" t="s">
        <v>386</v>
      </c>
      <c r="E66" t="e">
        <v>#N/A</v>
      </c>
      <c r="F66" t="s">
        <v>11</v>
      </c>
      <c r="G66" s="2">
        <v>0</v>
      </c>
      <c r="H66" t="s">
        <v>29</v>
      </c>
      <c r="I66" s="3" t="s">
        <v>411</v>
      </c>
      <c r="J66" s="2">
        <v>-80.44</v>
      </c>
      <c r="K66" s="6" t="str">
        <f>I66&amp;J66</f>
        <v>8.02024313504E8500X00.SI430573X83628-80.44</v>
      </c>
      <c r="L66" s="4" t="str">
        <f>IF(COUNTIF(D:D,D66)&gt;1,"D","N")</f>
        <v>D</v>
      </c>
      <c r="M66" s="4">
        <f>COUNTIFS(D:D,D66,F:F,"UPDATED")</f>
        <v>0</v>
      </c>
      <c r="N66" s="4">
        <f>COUNTIFS(D:D,D66,F:F,"NOT UPDATED")</f>
        <v>33</v>
      </c>
      <c r="O66" s="4">
        <f>COUNTIF(D:D,D66)</f>
        <v>33</v>
      </c>
    </row>
    <row r="67" spans="1:15" hidden="1" x14ac:dyDescent="0.25">
      <c r="A67">
        <v>66</v>
      </c>
      <c r="B67" t="s">
        <v>341</v>
      </c>
      <c r="C67" s="1">
        <v>45783</v>
      </c>
      <c r="D67" t="s">
        <v>386</v>
      </c>
      <c r="E67" t="e">
        <v>#N/A</v>
      </c>
      <c r="F67" t="s">
        <v>11</v>
      </c>
      <c r="G67" s="2">
        <v>0</v>
      </c>
      <c r="H67" t="s">
        <v>29</v>
      </c>
      <c r="I67" t="s">
        <v>412</v>
      </c>
      <c r="J67" s="2">
        <v>-135.94999999999999</v>
      </c>
      <c r="K67" s="6" t="str">
        <f>I67&amp;J67</f>
        <v>8.0202431050T94160X00.SI428369X58532-135.95</v>
      </c>
      <c r="L67" s="4" t="str">
        <f>IF(COUNTIF(D:D,D67)&gt;1,"D","N")</f>
        <v>D</v>
      </c>
      <c r="M67" s="4">
        <f>COUNTIFS(D:D,D67,F:F,"UPDATED")</f>
        <v>0</v>
      </c>
      <c r="N67" s="4">
        <f>COUNTIFS(D:D,D67,F:F,"NOT UPDATED")</f>
        <v>33</v>
      </c>
      <c r="O67" s="4">
        <f>COUNTIF(D:D,D67)</f>
        <v>33</v>
      </c>
    </row>
    <row r="68" spans="1:15" hidden="1" x14ac:dyDescent="0.25">
      <c r="A68">
        <v>67</v>
      </c>
      <c r="B68" t="s">
        <v>341</v>
      </c>
      <c r="C68" s="1">
        <v>45783</v>
      </c>
      <c r="D68" t="s">
        <v>386</v>
      </c>
      <c r="E68" t="e">
        <v>#N/A</v>
      </c>
      <c r="F68" t="s">
        <v>11</v>
      </c>
      <c r="G68" s="2">
        <v>0</v>
      </c>
      <c r="H68" t="s">
        <v>29</v>
      </c>
      <c r="I68" t="s">
        <v>413</v>
      </c>
      <c r="J68" s="2">
        <v>-181.75</v>
      </c>
      <c r="K68" s="6" t="str">
        <f>I68&amp;J68</f>
        <v>8.02024316503K2920X00.SI431904X95342-181.75</v>
      </c>
      <c r="L68" s="4" t="str">
        <f>IF(COUNTIF(D:D,D68)&gt;1,"D","N")</f>
        <v>D</v>
      </c>
      <c r="M68" s="4">
        <f>COUNTIFS(D:D,D68,F:F,"UPDATED")</f>
        <v>0</v>
      </c>
      <c r="N68" s="4">
        <f>COUNTIFS(D:D,D68,F:F,"NOT UPDATED")</f>
        <v>33</v>
      </c>
      <c r="O68" s="4">
        <f>COUNTIF(D:D,D68)</f>
        <v>33</v>
      </c>
    </row>
    <row r="69" spans="1:15" hidden="1" x14ac:dyDescent="0.25">
      <c r="A69">
        <v>68</v>
      </c>
      <c r="B69" t="s">
        <v>341</v>
      </c>
      <c r="C69" s="1">
        <v>45783</v>
      </c>
      <c r="D69" t="s">
        <v>386</v>
      </c>
      <c r="E69" t="e">
        <v>#N/A</v>
      </c>
      <c r="F69" t="s">
        <v>11</v>
      </c>
      <c r="G69" s="2">
        <v>0</v>
      </c>
      <c r="H69" t="s">
        <v>29</v>
      </c>
      <c r="I69" t="s">
        <v>414</v>
      </c>
      <c r="J69" s="2">
        <v>-60.61</v>
      </c>
      <c r="K69" s="6" t="str">
        <f>I69&amp;J69</f>
        <v>8.0202431050U21820X00.SI428219X651-60.61</v>
      </c>
      <c r="L69" s="4" t="str">
        <f>IF(COUNTIF(D:D,D69)&gt;1,"D","N")</f>
        <v>D</v>
      </c>
      <c r="M69" s="4">
        <f>COUNTIFS(D:D,D69,F:F,"UPDATED")</f>
        <v>0</v>
      </c>
      <c r="N69" s="4">
        <f>COUNTIFS(D:D,D69,F:F,"NOT UPDATED")</f>
        <v>33</v>
      </c>
      <c r="O69" s="4">
        <f>COUNTIF(D:D,D69)</f>
        <v>33</v>
      </c>
    </row>
    <row r="70" spans="1:15" hidden="1" x14ac:dyDescent="0.25">
      <c r="A70">
        <v>69</v>
      </c>
      <c r="B70" t="s">
        <v>341</v>
      </c>
      <c r="C70" s="1">
        <v>45783</v>
      </c>
      <c r="D70" t="s">
        <v>386</v>
      </c>
      <c r="E70" t="e">
        <v>#N/A</v>
      </c>
      <c r="F70" t="s">
        <v>11</v>
      </c>
      <c r="G70" s="2">
        <v>0</v>
      </c>
      <c r="H70" t="s">
        <v>29</v>
      </c>
      <c r="I70" t="s">
        <v>415</v>
      </c>
      <c r="J70" s="2">
        <v>-151.19</v>
      </c>
      <c r="K70" s="6" t="str">
        <f>I70&amp;J70</f>
        <v>8.02024316509J4330X00.SI431802X95143-151.19</v>
      </c>
      <c r="L70" s="4" t="str">
        <f>IF(COUNTIF(D:D,D70)&gt;1,"D","N")</f>
        <v>D</v>
      </c>
      <c r="M70" s="4">
        <f>COUNTIFS(D:D,D70,F:F,"UPDATED")</f>
        <v>0</v>
      </c>
      <c r="N70" s="4">
        <f>COUNTIFS(D:D,D70,F:F,"NOT UPDATED")</f>
        <v>33</v>
      </c>
      <c r="O70" s="4">
        <f>COUNTIF(D:D,D70)</f>
        <v>33</v>
      </c>
    </row>
    <row r="71" spans="1:15" hidden="1" x14ac:dyDescent="0.25">
      <c r="A71">
        <v>70</v>
      </c>
      <c r="B71" t="s">
        <v>341</v>
      </c>
      <c r="C71" s="1">
        <v>45783</v>
      </c>
      <c r="D71" t="s">
        <v>386</v>
      </c>
      <c r="E71" t="e">
        <v>#N/A</v>
      </c>
      <c r="F71" t="s">
        <v>11</v>
      </c>
      <c r="G71" s="2">
        <v>0</v>
      </c>
      <c r="H71" t="s">
        <v>29</v>
      </c>
      <c r="I71" t="s">
        <v>416</v>
      </c>
      <c r="J71" s="2">
        <v>-72.8</v>
      </c>
      <c r="K71" s="6" t="str">
        <f>I71&amp;J71</f>
        <v>8.02024312503285N0X00.SI429190X1762-72.8</v>
      </c>
      <c r="L71" s="4" t="str">
        <f>IF(COUNTIF(D:D,D71)&gt;1,"D","N")</f>
        <v>D</v>
      </c>
      <c r="M71" s="4">
        <f>COUNTIFS(D:D,D71,F:F,"UPDATED")</f>
        <v>0</v>
      </c>
      <c r="N71" s="4">
        <f>COUNTIFS(D:D,D71,F:F,"NOT UPDATED")</f>
        <v>33</v>
      </c>
      <c r="O71" s="4">
        <f>COUNTIF(D:D,D71)</f>
        <v>33</v>
      </c>
    </row>
    <row r="72" spans="1:15" hidden="1" x14ac:dyDescent="0.25">
      <c r="A72">
        <v>71</v>
      </c>
      <c r="B72" t="s">
        <v>341</v>
      </c>
      <c r="C72" s="1">
        <v>45783</v>
      </c>
      <c r="D72" t="s">
        <v>386</v>
      </c>
      <c r="E72" t="e">
        <v>#N/A</v>
      </c>
      <c r="F72" t="s">
        <v>11</v>
      </c>
      <c r="G72" s="2">
        <v>0</v>
      </c>
      <c r="H72" t="s">
        <v>29</v>
      </c>
      <c r="I72" t="s">
        <v>417</v>
      </c>
      <c r="J72" s="2">
        <v>-153.35</v>
      </c>
      <c r="K72" s="6" t="str">
        <f>I72&amp;J72</f>
        <v>8.02024316509J8700X00.SI431874X568-153.35</v>
      </c>
      <c r="L72" s="4" t="str">
        <f>IF(COUNTIF(D:D,D72)&gt;1,"D","N")</f>
        <v>D</v>
      </c>
      <c r="M72" s="4">
        <f>COUNTIFS(D:D,D72,F:F,"UPDATED")</f>
        <v>0</v>
      </c>
      <c r="N72" s="4">
        <f>COUNTIFS(D:D,D72,F:F,"NOT UPDATED")</f>
        <v>33</v>
      </c>
      <c r="O72" s="4">
        <f>COUNTIF(D:D,D72)</f>
        <v>33</v>
      </c>
    </row>
    <row r="73" spans="1:15" hidden="1" x14ac:dyDescent="0.25">
      <c r="A73">
        <v>72</v>
      </c>
      <c r="B73" t="s">
        <v>341</v>
      </c>
      <c r="C73" s="1">
        <v>45783</v>
      </c>
      <c r="D73" t="s">
        <v>386</v>
      </c>
      <c r="E73" t="e">
        <v>#N/A</v>
      </c>
      <c r="F73" t="s">
        <v>11</v>
      </c>
      <c r="G73" s="2">
        <v>0</v>
      </c>
      <c r="H73" t="s">
        <v>29</v>
      </c>
      <c r="I73" t="s">
        <v>418</v>
      </c>
      <c r="J73" s="2">
        <v>-80.44</v>
      </c>
      <c r="K73" s="6" t="str">
        <f>I73&amp;J73</f>
        <v>8.0202429150139Y20X00.SI417303X35315-80.44</v>
      </c>
      <c r="L73" s="4" t="str">
        <f>IF(COUNTIF(D:D,D73)&gt;1,"D","N")</f>
        <v>D</v>
      </c>
      <c r="M73" s="4">
        <f>COUNTIFS(D:D,D73,F:F,"UPDATED")</f>
        <v>0</v>
      </c>
      <c r="N73" s="4">
        <f>COUNTIFS(D:D,D73,F:F,"NOT UPDATED")</f>
        <v>33</v>
      </c>
      <c r="O73" s="4">
        <f>COUNTIF(D:D,D73)</f>
        <v>33</v>
      </c>
    </row>
    <row r="74" spans="1:15" hidden="1" x14ac:dyDescent="0.25">
      <c r="A74">
        <v>73</v>
      </c>
      <c r="B74" t="s">
        <v>341</v>
      </c>
      <c r="C74" s="1">
        <v>45783</v>
      </c>
      <c r="D74" t="s">
        <v>386</v>
      </c>
      <c r="E74" t="e">
        <v>#N/A</v>
      </c>
      <c r="F74" t="s">
        <v>11</v>
      </c>
      <c r="G74" s="2">
        <v>0</v>
      </c>
      <c r="H74" t="s">
        <v>29</v>
      </c>
      <c r="I74" t="s">
        <v>419</v>
      </c>
      <c r="J74" s="2">
        <v>-91.05</v>
      </c>
      <c r="K74" s="6" t="str">
        <f>I74&amp;J74</f>
        <v>8.02024309504U5600X00.SI427580X31826-91.05</v>
      </c>
      <c r="L74" s="4" t="str">
        <f>IF(COUNTIF(D:D,D74)&gt;1,"D","N")</f>
        <v>D</v>
      </c>
      <c r="M74" s="4">
        <f>COUNTIFS(D:D,D74,F:F,"UPDATED")</f>
        <v>0</v>
      </c>
      <c r="N74" s="4">
        <f>COUNTIFS(D:D,D74,F:F,"NOT UPDATED")</f>
        <v>33</v>
      </c>
      <c r="O74" s="4">
        <f>COUNTIF(D:D,D74)</f>
        <v>33</v>
      </c>
    </row>
    <row r="75" spans="1:15" hidden="1" x14ac:dyDescent="0.25">
      <c r="A75">
        <v>74</v>
      </c>
      <c r="B75" t="s">
        <v>341</v>
      </c>
      <c r="C75" s="1">
        <v>45783</v>
      </c>
      <c r="D75" t="s">
        <v>420</v>
      </c>
      <c r="E75" t="e">
        <v>#N/A</v>
      </c>
      <c r="F75" t="s">
        <v>11</v>
      </c>
      <c r="G75" s="2">
        <v>0</v>
      </c>
      <c r="H75" t="s">
        <v>29</v>
      </c>
      <c r="I75" t="s">
        <v>421</v>
      </c>
      <c r="J75" s="2">
        <v>-106.91</v>
      </c>
      <c r="K75" s="6" t="str">
        <f>I75&amp;J75</f>
        <v>8.02024312503658N0X00.SI429168X95090-106.91</v>
      </c>
      <c r="L75" s="4" t="str">
        <f>IF(COUNTIF(D:D,D75)&gt;1,"D","N")</f>
        <v>N</v>
      </c>
      <c r="M75" s="4">
        <f>COUNTIFS(D:D,D75,F:F,"UPDATED")</f>
        <v>0</v>
      </c>
      <c r="N75" s="4">
        <f>COUNTIFS(D:D,D75,F:F,"NOT UPDATED")</f>
        <v>1</v>
      </c>
      <c r="O75" s="4">
        <f>COUNTIF(D:D,D75)</f>
        <v>1</v>
      </c>
    </row>
    <row r="76" spans="1:15" hidden="1" x14ac:dyDescent="0.25">
      <c r="A76">
        <v>75</v>
      </c>
      <c r="B76" t="s">
        <v>422</v>
      </c>
      <c r="C76" s="1">
        <v>45783</v>
      </c>
      <c r="D76" t="s">
        <v>423</v>
      </c>
      <c r="E76" t="e">
        <v>#N/A</v>
      </c>
      <c r="F76" t="s">
        <v>11</v>
      </c>
      <c r="G76" t="s">
        <v>424</v>
      </c>
      <c r="H76" t="s">
        <v>15</v>
      </c>
      <c r="I76" t="s">
        <v>425</v>
      </c>
      <c r="J76" s="2">
        <v>-17.89</v>
      </c>
      <c r="K76" s="6" t="str">
        <f>I76&amp;J76</f>
        <v>SI520168X84648-17.89</v>
      </c>
      <c r="L76" s="4" t="str">
        <f>IF(COUNTIF(D:D,D76)&gt;1,"D","N")</f>
        <v>N</v>
      </c>
      <c r="M76" s="4">
        <f>COUNTIFS(D:D,D76,F:F,"UPDATED")</f>
        <v>0</v>
      </c>
      <c r="N76" s="4">
        <f>COUNTIFS(D:D,D76,F:F,"NOT UPDATED")</f>
        <v>1</v>
      </c>
      <c r="O76" s="4">
        <f>COUNTIF(D:D,D76)</f>
        <v>1</v>
      </c>
    </row>
    <row r="77" spans="1:15" hidden="1" x14ac:dyDescent="0.25">
      <c r="A77">
        <v>76</v>
      </c>
      <c r="B77" t="s">
        <v>422</v>
      </c>
      <c r="C77" s="1">
        <v>45783</v>
      </c>
      <c r="D77" t="s">
        <v>426</v>
      </c>
      <c r="E77" t="e">
        <v>#N/A</v>
      </c>
      <c r="F77" t="s">
        <v>11</v>
      </c>
      <c r="G77" s="2">
        <v>8.83</v>
      </c>
      <c r="H77" t="s">
        <v>15</v>
      </c>
      <c r="I77" t="s">
        <v>427</v>
      </c>
      <c r="J77" s="2">
        <v>-8.65</v>
      </c>
      <c r="K77" s="6" t="str">
        <f>I77&amp;J77</f>
        <v>SI449470X52984-8.65</v>
      </c>
      <c r="L77" s="4" t="str">
        <f>IF(COUNTIF(D:D,D77)&gt;1,"D","N")</f>
        <v>N</v>
      </c>
      <c r="M77" s="4">
        <f>COUNTIFS(D:D,D77,F:F,"UPDATED")</f>
        <v>0</v>
      </c>
      <c r="N77" s="4">
        <f>COUNTIFS(D:D,D77,F:F,"NOT UPDATED")</f>
        <v>1</v>
      </c>
      <c r="O77" s="4">
        <f>COUNTIF(D:D,D77)</f>
        <v>1</v>
      </c>
    </row>
    <row r="78" spans="1:15" hidden="1" x14ac:dyDescent="0.25">
      <c r="A78">
        <v>77</v>
      </c>
      <c r="B78" t="s">
        <v>10</v>
      </c>
      <c r="C78" s="1">
        <v>45783</v>
      </c>
      <c r="D78">
        <v>800457393</v>
      </c>
      <c r="E78" t="e">
        <v>#N/A</v>
      </c>
      <c r="F78" t="s">
        <v>11</v>
      </c>
      <c r="G78" t="s">
        <v>428</v>
      </c>
      <c r="H78" t="s">
        <v>15</v>
      </c>
      <c r="I78" t="s">
        <v>429</v>
      </c>
      <c r="J78" s="2">
        <v>34.729999999999997</v>
      </c>
      <c r="K78" s="6" t="str">
        <f>I78&amp;J78</f>
        <v>SI375520X2065934.73</v>
      </c>
      <c r="L78" s="4" t="str">
        <f>IF(COUNTIF(D:D,D78)&gt;1,"D","N")</f>
        <v>D</v>
      </c>
      <c r="M78" s="4">
        <f>COUNTIFS(D:D,D78,F:F,"UPDATED")</f>
        <v>0</v>
      </c>
      <c r="N78" s="4">
        <f>COUNTIFS(D:D,D78,F:F,"NOT UPDATED")</f>
        <v>2</v>
      </c>
      <c r="O78" s="4">
        <f>COUNTIF(D:D,D78)</f>
        <v>2</v>
      </c>
    </row>
    <row r="79" spans="1:15" hidden="1" x14ac:dyDescent="0.25">
      <c r="A79">
        <v>78</v>
      </c>
      <c r="B79" t="s">
        <v>10</v>
      </c>
      <c r="C79" s="1">
        <v>45783</v>
      </c>
      <c r="D79">
        <v>800457393</v>
      </c>
      <c r="E79" t="e">
        <v>#N/A</v>
      </c>
      <c r="F79" t="s">
        <v>11</v>
      </c>
      <c r="G79" t="s">
        <v>428</v>
      </c>
      <c r="H79" t="s">
        <v>15</v>
      </c>
      <c r="I79" t="s">
        <v>430</v>
      </c>
      <c r="J79" s="2">
        <v>34.729999999999997</v>
      </c>
      <c r="K79" s="6" t="str">
        <f>I79&amp;J79</f>
        <v>SI381516X2065934.73</v>
      </c>
      <c r="L79" s="4" t="str">
        <f>IF(COUNTIF(D:D,D79)&gt;1,"D","N")</f>
        <v>D</v>
      </c>
      <c r="M79" s="4">
        <f>COUNTIFS(D:D,D79,F:F,"UPDATED")</f>
        <v>0</v>
      </c>
      <c r="N79" s="4">
        <f>COUNTIFS(D:D,D79,F:F,"NOT UPDATED")</f>
        <v>2</v>
      </c>
      <c r="O79" s="4">
        <f>COUNTIF(D:D,D79)</f>
        <v>2</v>
      </c>
    </row>
    <row r="80" spans="1:15" hidden="1" x14ac:dyDescent="0.25">
      <c r="A80">
        <v>79</v>
      </c>
      <c r="B80" t="s">
        <v>341</v>
      </c>
      <c r="C80" s="1">
        <v>45784</v>
      </c>
      <c r="D80" t="s">
        <v>431</v>
      </c>
      <c r="E80" t="e">
        <v>#N/A</v>
      </c>
      <c r="F80" t="s">
        <v>11</v>
      </c>
      <c r="G80" t="s">
        <v>432</v>
      </c>
      <c r="H80" t="s">
        <v>194</v>
      </c>
      <c r="I80" t="s">
        <v>433</v>
      </c>
      <c r="J80" s="2">
        <v>-0.5</v>
      </c>
      <c r="K80" s="6" t="str">
        <f>I80&amp;J80</f>
        <v>0202504250L33710X01.SI453539X56950-0.5</v>
      </c>
      <c r="L80" s="4" t="str">
        <f>IF(COUNTIF(D:D,D80)&gt;1,"D","N")</f>
        <v>N</v>
      </c>
      <c r="M80" s="4">
        <f>COUNTIFS(D:D,D80,F:F,"UPDATED")</f>
        <v>0</v>
      </c>
      <c r="N80" s="4">
        <f>COUNTIFS(D:D,D80,F:F,"NOT UPDATED")</f>
        <v>1</v>
      </c>
      <c r="O80" s="4">
        <f>COUNTIF(D:D,D80)</f>
        <v>1</v>
      </c>
    </row>
    <row r="81" spans="1:15" x14ac:dyDescent="0.25">
      <c r="A81">
        <v>331</v>
      </c>
      <c r="B81" t="s">
        <v>345</v>
      </c>
      <c r="C81" s="1">
        <v>45800</v>
      </c>
      <c r="D81" t="s">
        <v>712</v>
      </c>
      <c r="E81" t="e">
        <v>#N/A</v>
      </c>
      <c r="F81" t="s">
        <v>11</v>
      </c>
      <c r="G81" s="2">
        <v>11557.6</v>
      </c>
      <c r="H81" t="s">
        <v>15</v>
      </c>
      <c r="I81" t="s">
        <v>713</v>
      </c>
      <c r="J81" s="2">
        <v>99.38</v>
      </c>
      <c r="K81" s="6" t="str">
        <f>I81&amp;J81</f>
        <v>0202405150D41770X.SI273373X2861699.38</v>
      </c>
      <c r="L81" s="4" t="str">
        <f>IF(COUNTIF(D:D,D81)&gt;1,"D","N")</f>
        <v>D</v>
      </c>
      <c r="M81" s="4">
        <f>COUNTIFS(D:D,D81,F:F,"UPDATED")</f>
        <v>0</v>
      </c>
      <c r="N81" s="4">
        <f>COUNTIFS(D:D,D81,F:F,"NOT UPDATED")</f>
        <v>3</v>
      </c>
      <c r="O81" s="4">
        <f>COUNTIF(D:D,D81)</f>
        <v>3</v>
      </c>
    </row>
    <row r="82" spans="1:15" hidden="1" x14ac:dyDescent="0.25">
      <c r="A82">
        <v>81</v>
      </c>
      <c r="B82" t="s">
        <v>341</v>
      </c>
      <c r="C82" s="1">
        <v>45784</v>
      </c>
      <c r="D82" t="s">
        <v>434</v>
      </c>
      <c r="E82" t="e">
        <v>#N/A</v>
      </c>
      <c r="F82" t="s">
        <v>11</v>
      </c>
      <c r="G82" s="2">
        <v>21850.41</v>
      </c>
      <c r="H82" t="s">
        <v>15</v>
      </c>
      <c r="I82" t="s">
        <v>435</v>
      </c>
      <c r="J82" s="2">
        <v>137.16</v>
      </c>
      <c r="K82" s="6" t="str">
        <f>I82&amp;J82</f>
        <v>02024337502390P0X01.SI443947X36508137.16</v>
      </c>
      <c r="L82" s="4" t="str">
        <f>IF(COUNTIF(D:D,D82)&gt;1,"D","N")</f>
        <v>D</v>
      </c>
      <c r="M82" s="4">
        <f>COUNTIFS(D:D,D82,F:F,"UPDATED")</f>
        <v>0</v>
      </c>
      <c r="N82" s="4">
        <f>COUNTIFS(D:D,D82,F:F,"NOT UPDATED")</f>
        <v>6</v>
      </c>
      <c r="O82" s="4">
        <f>COUNTIF(D:D,D82)</f>
        <v>6</v>
      </c>
    </row>
    <row r="83" spans="1:15" x14ac:dyDescent="0.25">
      <c r="A83">
        <v>367</v>
      </c>
      <c r="B83" t="s">
        <v>94</v>
      </c>
      <c r="C83" s="1">
        <v>45800</v>
      </c>
      <c r="D83" t="s">
        <v>743</v>
      </c>
      <c r="E83" t="e">
        <v>#N/A</v>
      </c>
      <c r="F83" t="s">
        <v>11</v>
      </c>
      <c r="G83" s="2">
        <v>11557.6</v>
      </c>
      <c r="H83" t="s">
        <v>15</v>
      </c>
      <c r="I83" t="s">
        <v>713</v>
      </c>
      <c r="J83" s="2">
        <v>99.38</v>
      </c>
      <c r="K83" s="6" t="str">
        <f>I83&amp;J83</f>
        <v>0202405150D41770X.SI273373X2861699.38</v>
      </c>
      <c r="L83" s="4" t="str">
        <f>IF(COUNTIF(D:D,D83)&gt;1,"D","N")</f>
        <v>D</v>
      </c>
      <c r="M83" s="4">
        <f>COUNTIFS(D:D,D83,F:F,"UPDATED")</f>
        <v>0</v>
      </c>
      <c r="N83" s="4">
        <f>COUNTIFS(D:D,D83,F:F,"NOT UPDATED")</f>
        <v>3</v>
      </c>
      <c r="O83" s="4">
        <f>COUNTIF(D:D,D83)</f>
        <v>3</v>
      </c>
    </row>
    <row r="84" spans="1:15" hidden="1" x14ac:dyDescent="0.25">
      <c r="A84">
        <v>83</v>
      </c>
      <c r="B84" t="s">
        <v>341</v>
      </c>
      <c r="C84" s="1">
        <v>45784</v>
      </c>
      <c r="D84" t="s">
        <v>434</v>
      </c>
      <c r="E84" t="e">
        <v>#N/A</v>
      </c>
      <c r="F84" t="s">
        <v>11</v>
      </c>
      <c r="G84" s="2">
        <v>21850.41</v>
      </c>
      <c r="H84" t="s">
        <v>29</v>
      </c>
      <c r="I84" t="s">
        <v>436</v>
      </c>
      <c r="J84" s="2">
        <v>-125.99</v>
      </c>
      <c r="K84" s="6" t="str">
        <f>I84&amp;J84</f>
        <v>02025024506869A0X00.SI474052X25026-125.99</v>
      </c>
      <c r="L84" s="4" t="str">
        <f>IF(COUNTIF(D:D,D84)&gt;1,"D","N")</f>
        <v>D</v>
      </c>
      <c r="M84" s="4">
        <f>COUNTIFS(D:D,D84,F:F,"UPDATED")</f>
        <v>0</v>
      </c>
      <c r="N84" s="4">
        <f>COUNTIFS(D:D,D84,F:F,"NOT UPDATED")</f>
        <v>6</v>
      </c>
      <c r="O84" s="4">
        <f>COUNTIF(D:D,D84)</f>
        <v>6</v>
      </c>
    </row>
    <row r="85" spans="1:15" hidden="1" x14ac:dyDescent="0.25">
      <c r="A85">
        <v>84</v>
      </c>
      <c r="B85" t="s">
        <v>341</v>
      </c>
      <c r="C85" s="1">
        <v>45784</v>
      </c>
      <c r="D85" t="s">
        <v>434</v>
      </c>
      <c r="E85" t="e">
        <v>#N/A</v>
      </c>
      <c r="F85" t="s">
        <v>11</v>
      </c>
      <c r="G85" s="2">
        <v>21850.41</v>
      </c>
      <c r="H85" t="s">
        <v>29</v>
      </c>
      <c r="I85" t="s">
        <v>437</v>
      </c>
      <c r="J85" s="2">
        <v>-163.15</v>
      </c>
      <c r="K85" s="6" t="str">
        <f>I85&amp;J85</f>
        <v>02025041507V5660X00.SI483338X34835-163.15</v>
      </c>
      <c r="L85" s="4" t="str">
        <f>IF(COUNTIF(D:D,D85)&gt;1,"D","N")</f>
        <v>D</v>
      </c>
      <c r="M85" s="4">
        <f>COUNTIFS(D:D,D85,F:F,"UPDATED")</f>
        <v>0</v>
      </c>
      <c r="N85" s="4">
        <f>COUNTIFS(D:D,D85,F:F,"NOT UPDATED")</f>
        <v>6</v>
      </c>
      <c r="O85" s="4">
        <f>COUNTIF(D:D,D85)</f>
        <v>6</v>
      </c>
    </row>
    <row r="86" spans="1:15" hidden="1" x14ac:dyDescent="0.25">
      <c r="A86">
        <v>85</v>
      </c>
      <c r="B86" t="s">
        <v>341</v>
      </c>
      <c r="C86" s="1">
        <v>45784</v>
      </c>
      <c r="D86" t="s">
        <v>434</v>
      </c>
      <c r="E86" t="e">
        <v>#N/A</v>
      </c>
      <c r="F86" t="s">
        <v>11</v>
      </c>
      <c r="G86" s="2">
        <v>21850.41</v>
      </c>
      <c r="H86" t="s">
        <v>29</v>
      </c>
      <c r="I86" t="s">
        <v>438</v>
      </c>
      <c r="J86" s="2">
        <v>-192.76</v>
      </c>
      <c r="K86" s="6" t="str">
        <f>I86&amp;J86</f>
        <v>02025041509U9780X00.SI483154X25026-192.76</v>
      </c>
      <c r="L86" s="4" t="str">
        <f>IF(COUNTIF(D:D,D86)&gt;1,"D","N")</f>
        <v>D</v>
      </c>
      <c r="M86" s="4">
        <f>COUNTIFS(D:D,D86,F:F,"UPDATED")</f>
        <v>0</v>
      </c>
      <c r="N86" s="4">
        <f>COUNTIFS(D:D,D86,F:F,"NOT UPDATED")</f>
        <v>6</v>
      </c>
      <c r="O86" s="4">
        <f>COUNTIF(D:D,D86)</f>
        <v>6</v>
      </c>
    </row>
    <row r="87" spans="1:15" x14ac:dyDescent="0.25">
      <c r="A87">
        <v>282</v>
      </c>
      <c r="B87" t="s">
        <v>341</v>
      </c>
      <c r="C87" s="1">
        <v>45798</v>
      </c>
      <c r="D87" t="s">
        <v>625</v>
      </c>
      <c r="E87" t="e">
        <v>#N/A</v>
      </c>
      <c r="F87" t="s">
        <v>11</v>
      </c>
      <c r="G87" s="2">
        <v>5591</v>
      </c>
      <c r="H87" t="s">
        <v>15</v>
      </c>
      <c r="I87" t="s">
        <v>640</v>
      </c>
      <c r="J87" s="2">
        <v>241.69</v>
      </c>
      <c r="K87" s="6" t="str">
        <f>I87&amp;J87</f>
        <v>02024116505C7720X.SI304095X8390241.69</v>
      </c>
      <c r="L87" s="4" t="str">
        <f>IF(COUNTIF(D:D,D87)&gt;1,"D","N")</f>
        <v>D</v>
      </c>
      <c r="M87" s="4">
        <f>COUNTIFS(D:D,D87,F:F,"UPDATED")</f>
        <v>0</v>
      </c>
      <c r="N87" s="4">
        <f>COUNTIFS(D:D,D87,F:F,"NOT UPDATED")</f>
        <v>17</v>
      </c>
      <c r="O87" s="4">
        <f>COUNTIF(D:D,D87)</f>
        <v>17</v>
      </c>
    </row>
    <row r="88" spans="1:15" x14ac:dyDescent="0.25">
      <c r="A88">
        <v>376</v>
      </c>
      <c r="B88" t="s">
        <v>94</v>
      </c>
      <c r="C88" s="1">
        <v>45798</v>
      </c>
      <c r="D88" t="s">
        <v>747</v>
      </c>
      <c r="E88" t="e">
        <v>#N/A</v>
      </c>
      <c r="F88" t="s">
        <v>11</v>
      </c>
      <c r="G88" s="2">
        <v>5591</v>
      </c>
      <c r="H88" t="s">
        <v>15</v>
      </c>
      <c r="I88" t="s">
        <v>640</v>
      </c>
      <c r="J88" s="2">
        <v>241.69</v>
      </c>
      <c r="K88" s="6" t="str">
        <f>I88&amp;J88</f>
        <v>02024116505C7720X.SI304095X8390241.69</v>
      </c>
      <c r="L88" s="4" t="str">
        <f>IF(COUNTIF(D:D,D88)&gt;1,"D","N")</f>
        <v>D</v>
      </c>
      <c r="M88" s="4">
        <f>COUNTIFS(D:D,D88,F:F,"UPDATED")</f>
        <v>0</v>
      </c>
      <c r="N88" s="4">
        <f>COUNTIFS(D:D,D88,F:F,"NOT UPDATED")</f>
        <v>3</v>
      </c>
      <c r="O88" s="4">
        <f>COUNTIF(D:D,D88)</f>
        <v>3</v>
      </c>
    </row>
    <row r="89" spans="1:15" x14ac:dyDescent="0.25">
      <c r="A89">
        <v>335</v>
      </c>
      <c r="B89" t="s">
        <v>94</v>
      </c>
      <c r="C89" s="1">
        <v>45800</v>
      </c>
      <c r="D89" t="s">
        <v>716</v>
      </c>
      <c r="E89" t="e">
        <v>#N/A</v>
      </c>
      <c r="F89" t="s">
        <v>11</v>
      </c>
      <c r="G89" s="2">
        <v>22203.57</v>
      </c>
      <c r="H89" t="s">
        <v>15</v>
      </c>
      <c r="I89" t="s">
        <v>718</v>
      </c>
      <c r="J89" s="2">
        <v>140.99</v>
      </c>
      <c r="K89" s="6" t="str">
        <f>I89&amp;J89</f>
        <v>02024184507J4340X.SI350925X59843140.99</v>
      </c>
      <c r="L89" s="4" t="str">
        <f>IF(COUNTIF(D:D,D89)&gt;1,"D","N")</f>
        <v>D</v>
      </c>
      <c r="M89" s="4">
        <f>COUNTIFS(D:D,D89,F:F,"UPDATED")</f>
        <v>0</v>
      </c>
      <c r="N89" s="4">
        <f>COUNTIFS(D:D,D89,F:F,"NOT UPDATED")</f>
        <v>4</v>
      </c>
      <c r="O89" s="4">
        <f>COUNTIF(D:D,D89)</f>
        <v>4</v>
      </c>
    </row>
    <row r="90" spans="1:15" x14ac:dyDescent="0.25">
      <c r="A90">
        <v>371</v>
      </c>
      <c r="C90" s="1">
        <v>45800</v>
      </c>
      <c r="D90" t="s">
        <v>744</v>
      </c>
      <c r="E90" t="e">
        <v>#N/A</v>
      </c>
      <c r="F90" t="s">
        <v>11</v>
      </c>
      <c r="G90" s="2">
        <v>22203.57</v>
      </c>
      <c r="H90" t="s">
        <v>15</v>
      </c>
      <c r="I90" t="s">
        <v>718</v>
      </c>
      <c r="J90" s="2">
        <v>140.99</v>
      </c>
      <c r="K90" s="6" t="str">
        <f>I90&amp;J90</f>
        <v>02024184507J4340X.SI350925X59843140.99</v>
      </c>
      <c r="L90" s="4" t="str">
        <f>IF(COUNTIF(D:D,D90)&gt;1,"D","N")</f>
        <v>D</v>
      </c>
      <c r="M90" s="4">
        <f>COUNTIFS(D:D,D90,F:F,"UPDATED")</f>
        <v>0</v>
      </c>
      <c r="N90" s="4">
        <f>COUNTIFS(D:D,D90,F:F,"NOT UPDATED")</f>
        <v>4</v>
      </c>
      <c r="O90" s="4">
        <f>COUNTIF(D:D,D90)</f>
        <v>4</v>
      </c>
    </row>
    <row r="91" spans="1:15" x14ac:dyDescent="0.25">
      <c r="A91">
        <v>289</v>
      </c>
      <c r="B91" t="s">
        <v>341</v>
      </c>
      <c r="C91" s="1">
        <v>45799</v>
      </c>
      <c r="D91" t="s">
        <v>648</v>
      </c>
      <c r="E91" t="e">
        <v>#N/A</v>
      </c>
      <c r="F91" t="s">
        <v>11</v>
      </c>
      <c r="G91" s="2">
        <v>50</v>
      </c>
      <c r="H91" t="s">
        <v>15</v>
      </c>
      <c r="I91" t="s">
        <v>649</v>
      </c>
      <c r="J91" s="2">
        <v>151.76</v>
      </c>
      <c r="K91" s="6" t="str">
        <f>I91&amp;J91</f>
        <v>02024233503700D0X.SI378945X87467151.76</v>
      </c>
      <c r="L91" s="4" t="str">
        <f>IF(COUNTIF(D:D,D91)&gt;1,"D","N")</f>
        <v>D</v>
      </c>
      <c r="M91" s="4">
        <f>COUNTIFS(D:D,D91,F:F,"UPDATED")</f>
        <v>0</v>
      </c>
      <c r="N91" s="4">
        <f>COUNTIFS(D:D,D91,F:F,"NOT UPDATED")</f>
        <v>4</v>
      </c>
      <c r="O91" s="4">
        <f>COUNTIF(D:D,D91)</f>
        <v>4</v>
      </c>
    </row>
    <row r="92" spans="1:15" x14ac:dyDescent="0.25">
      <c r="A92">
        <v>342</v>
      </c>
      <c r="B92" t="s">
        <v>94</v>
      </c>
      <c r="C92" s="1">
        <v>45799</v>
      </c>
      <c r="D92" t="s">
        <v>730</v>
      </c>
      <c r="E92" t="e">
        <v>#N/A</v>
      </c>
      <c r="F92" t="s">
        <v>11</v>
      </c>
      <c r="G92" t="s">
        <v>731</v>
      </c>
      <c r="H92" t="s">
        <v>15</v>
      </c>
      <c r="I92" t="s">
        <v>649</v>
      </c>
      <c r="J92" s="2">
        <v>151.76</v>
      </c>
      <c r="K92" s="6" t="str">
        <f>I92&amp;J92</f>
        <v>02024233503700D0X.SI378945X87467151.76</v>
      </c>
      <c r="L92" s="4" t="str">
        <f>IF(COUNTIF(D:D,D92)&gt;1,"D","N")</f>
        <v>D</v>
      </c>
      <c r="M92" s="4">
        <f>COUNTIFS(D:D,D92,F:F,"UPDATED")</f>
        <v>0</v>
      </c>
      <c r="N92" s="4">
        <f>COUNTIFS(D:D,D92,F:F,"NOT UPDATED")</f>
        <v>4</v>
      </c>
      <c r="O92" s="4">
        <f>COUNTIF(D:D,D92)</f>
        <v>4</v>
      </c>
    </row>
    <row r="93" spans="1:15" x14ac:dyDescent="0.25">
      <c r="A93">
        <v>290</v>
      </c>
      <c r="B93" t="s">
        <v>341</v>
      </c>
      <c r="C93" s="1">
        <v>45799</v>
      </c>
      <c r="D93" t="s">
        <v>648</v>
      </c>
      <c r="E93" t="e">
        <v>#N/A</v>
      </c>
      <c r="F93" t="s">
        <v>11</v>
      </c>
      <c r="G93" s="2">
        <v>50</v>
      </c>
      <c r="H93" t="s">
        <v>15</v>
      </c>
      <c r="I93" t="s">
        <v>650</v>
      </c>
      <c r="J93" s="2">
        <v>133.96</v>
      </c>
      <c r="K93" s="6" t="str">
        <f>I93&amp;J93</f>
        <v>0202423550Z37040X.SI380669X59558133.96</v>
      </c>
      <c r="L93" s="4" t="str">
        <f>IF(COUNTIF(D:D,D93)&gt;1,"D","N")</f>
        <v>D</v>
      </c>
      <c r="M93" s="4">
        <f>COUNTIFS(D:D,D93,F:F,"UPDATED")</f>
        <v>0</v>
      </c>
      <c r="N93" s="4">
        <f>COUNTIFS(D:D,D93,F:F,"NOT UPDATED")</f>
        <v>4</v>
      </c>
      <c r="O93" s="4">
        <f>COUNTIF(D:D,D93)</f>
        <v>4</v>
      </c>
    </row>
    <row r="94" spans="1:15" x14ac:dyDescent="0.25">
      <c r="A94">
        <v>343</v>
      </c>
      <c r="B94" t="s">
        <v>94</v>
      </c>
      <c r="C94" s="1">
        <v>45799</v>
      </c>
      <c r="D94" t="s">
        <v>730</v>
      </c>
      <c r="E94" t="e">
        <v>#N/A</v>
      </c>
      <c r="F94" t="s">
        <v>11</v>
      </c>
      <c r="G94" t="s">
        <v>731</v>
      </c>
      <c r="H94" t="s">
        <v>15</v>
      </c>
      <c r="I94" t="s">
        <v>650</v>
      </c>
      <c r="J94" s="2">
        <v>133.96</v>
      </c>
      <c r="K94" s="6" t="str">
        <f>I94&amp;J94</f>
        <v>0202423550Z37040X.SI380669X59558133.96</v>
      </c>
      <c r="L94" s="4" t="str">
        <f>IF(COUNTIF(D:D,D94)&gt;1,"D","N")</f>
        <v>D</v>
      </c>
      <c r="M94" s="4">
        <f>COUNTIFS(D:D,D94,F:F,"UPDATED")</f>
        <v>0</v>
      </c>
      <c r="N94" s="4">
        <f>COUNTIFS(D:D,D94,F:F,"NOT UPDATED")</f>
        <v>4</v>
      </c>
      <c r="O94" s="4">
        <f>COUNTIF(D:D,D94)</f>
        <v>4</v>
      </c>
    </row>
    <row r="95" spans="1:15" x14ac:dyDescent="0.25">
      <c r="A95">
        <v>311</v>
      </c>
      <c r="B95" t="s">
        <v>341</v>
      </c>
      <c r="C95" s="1">
        <v>45805</v>
      </c>
      <c r="D95" t="s">
        <v>682</v>
      </c>
      <c r="E95" t="e">
        <v>#N/A</v>
      </c>
      <c r="F95" t="s">
        <v>11</v>
      </c>
      <c r="G95" t="s">
        <v>517</v>
      </c>
      <c r="H95" t="s">
        <v>15</v>
      </c>
      <c r="I95" t="s">
        <v>651</v>
      </c>
      <c r="J95" s="2">
        <v>101.35</v>
      </c>
      <c r="K95" s="6" t="str">
        <f>I95&amp;J95</f>
        <v>0202423550Z48880X.SI381091X59157101.35</v>
      </c>
      <c r="L95" s="4" t="str">
        <f>IF(COUNTIF(D:D,D95)&gt;1,"D","N")</f>
        <v>D</v>
      </c>
      <c r="M95" s="4">
        <f>COUNTIFS(D:D,D95,F:F,"UPDATED")</f>
        <v>0</v>
      </c>
      <c r="N95" s="4">
        <f>COUNTIFS(D:D,D95,F:F,"NOT UPDATED")</f>
        <v>3</v>
      </c>
      <c r="O95" s="4">
        <f>COUNTIF(D:D,D95)</f>
        <v>3</v>
      </c>
    </row>
    <row r="96" spans="1:15" x14ac:dyDescent="0.25">
      <c r="A96">
        <v>354</v>
      </c>
      <c r="B96" t="s">
        <v>94</v>
      </c>
      <c r="C96" s="1">
        <v>45805</v>
      </c>
      <c r="D96" t="s">
        <v>738</v>
      </c>
      <c r="E96" t="e">
        <v>#N/A</v>
      </c>
      <c r="F96" t="s">
        <v>11</v>
      </c>
      <c r="G96" s="2">
        <v>50</v>
      </c>
      <c r="H96" t="s">
        <v>15</v>
      </c>
      <c r="I96" t="s">
        <v>651</v>
      </c>
      <c r="J96" s="2">
        <v>101.35</v>
      </c>
      <c r="K96" s="6" t="str">
        <f>I96&amp;J96</f>
        <v>0202423550Z48880X.SI381091X59157101.35</v>
      </c>
      <c r="L96" s="4" t="str">
        <f>IF(COUNTIF(D:D,D96)&gt;1,"D","N")</f>
        <v>D</v>
      </c>
      <c r="M96" s="4">
        <f>COUNTIFS(D:D,D96,F:F,"UPDATED")</f>
        <v>0</v>
      </c>
      <c r="N96" s="4">
        <f>COUNTIFS(D:D,D96,F:F,"NOT UPDATED")</f>
        <v>3</v>
      </c>
      <c r="O96" s="4">
        <f>COUNTIF(D:D,D96)</f>
        <v>3</v>
      </c>
    </row>
    <row r="97" spans="1:15" x14ac:dyDescent="0.25">
      <c r="A97">
        <v>291</v>
      </c>
      <c r="B97" t="s">
        <v>341</v>
      </c>
      <c r="C97" s="1">
        <v>45799</v>
      </c>
      <c r="D97" t="s">
        <v>648</v>
      </c>
      <c r="E97" t="e">
        <v>#N/A</v>
      </c>
      <c r="F97" t="s">
        <v>11</v>
      </c>
      <c r="G97" s="2">
        <v>50</v>
      </c>
      <c r="H97" t="s">
        <v>15</v>
      </c>
      <c r="I97" t="s">
        <v>651</v>
      </c>
      <c r="J97" s="2">
        <v>14.5</v>
      </c>
      <c r="K97" s="6" t="str">
        <f>I97&amp;J97</f>
        <v>0202423550Z48880X.SI381091X5915714.5</v>
      </c>
      <c r="L97" s="4" t="str">
        <f>IF(COUNTIF(D:D,D97)&gt;1,"D","N")</f>
        <v>D</v>
      </c>
      <c r="M97" s="4">
        <f>COUNTIFS(D:D,D97,F:F,"UPDATED")</f>
        <v>0</v>
      </c>
      <c r="N97" s="4">
        <f>COUNTIFS(D:D,D97,F:F,"NOT UPDATED")</f>
        <v>4</v>
      </c>
      <c r="O97" s="4">
        <f>COUNTIF(D:D,D97)</f>
        <v>4</v>
      </c>
    </row>
    <row r="98" spans="1:15" x14ac:dyDescent="0.25">
      <c r="A98">
        <v>344</v>
      </c>
      <c r="B98" t="s">
        <v>94</v>
      </c>
      <c r="C98" s="1">
        <v>45799</v>
      </c>
      <c r="D98" t="s">
        <v>730</v>
      </c>
      <c r="E98" t="e">
        <v>#N/A</v>
      </c>
      <c r="F98" t="s">
        <v>11</v>
      </c>
      <c r="G98" t="s">
        <v>731</v>
      </c>
      <c r="H98" t="s">
        <v>15</v>
      </c>
      <c r="I98" t="s">
        <v>651</v>
      </c>
      <c r="J98" s="2">
        <v>14.5</v>
      </c>
      <c r="K98" s="6" t="str">
        <f>I98&amp;J98</f>
        <v>0202423550Z48880X.SI381091X5915714.5</v>
      </c>
      <c r="L98" s="4" t="str">
        <f>IF(COUNTIF(D:D,D98)&gt;1,"D","N")</f>
        <v>D</v>
      </c>
      <c r="M98" s="4">
        <f>COUNTIFS(D:D,D98,F:F,"UPDATED")</f>
        <v>0</v>
      </c>
      <c r="N98" s="4">
        <f>COUNTIFS(D:D,D98,F:F,"NOT UPDATED")</f>
        <v>4</v>
      </c>
      <c r="O98" s="4">
        <f>COUNTIF(D:D,D98)</f>
        <v>4</v>
      </c>
    </row>
    <row r="99" spans="1:15" x14ac:dyDescent="0.25">
      <c r="A99">
        <v>320</v>
      </c>
      <c r="B99" t="s">
        <v>94</v>
      </c>
      <c r="C99" t="s">
        <v>697</v>
      </c>
      <c r="D99" t="s">
        <v>698</v>
      </c>
      <c r="E99" t="e">
        <v>#N/A</v>
      </c>
      <c r="F99" t="s">
        <v>11</v>
      </c>
      <c r="G99" s="2">
        <v>50</v>
      </c>
      <c r="H99" t="s">
        <v>15</v>
      </c>
      <c r="I99" t="s">
        <v>651</v>
      </c>
      <c r="J99" s="2">
        <v>80.48</v>
      </c>
      <c r="K99" s="6" t="str">
        <f>I99&amp;J99</f>
        <v>0202423550Z48880X.SI381091X5915780.48</v>
      </c>
      <c r="L99" s="4" t="str">
        <f>IF(COUNTIF(D:D,D99)&gt;1,"D","N")</f>
        <v>N</v>
      </c>
      <c r="M99" s="4">
        <f>COUNTIFS(D:D,D99,F:F,"UPDATED")</f>
        <v>0</v>
      </c>
      <c r="N99" s="4">
        <f>COUNTIFS(D:D,D99,F:F,"NOT UPDATED")</f>
        <v>1</v>
      </c>
      <c r="O99" s="4">
        <f>COUNTIF(D:D,D99)</f>
        <v>1</v>
      </c>
    </row>
    <row r="100" spans="1:15" x14ac:dyDescent="0.25">
      <c r="A100">
        <v>360</v>
      </c>
      <c r="B100" t="s">
        <v>94</v>
      </c>
      <c r="C100" s="1">
        <v>45804</v>
      </c>
      <c r="D100" t="s">
        <v>742</v>
      </c>
      <c r="E100" t="e">
        <v>#N/A</v>
      </c>
      <c r="F100" t="s">
        <v>11</v>
      </c>
      <c r="G100" s="2">
        <v>50</v>
      </c>
      <c r="H100" t="s">
        <v>15</v>
      </c>
      <c r="I100" t="s">
        <v>651</v>
      </c>
      <c r="J100" s="2">
        <v>80.48</v>
      </c>
      <c r="K100" s="6" t="str">
        <f>I100&amp;J100</f>
        <v>0202423550Z48880X.SI381091X5915780.48</v>
      </c>
      <c r="L100" s="4" t="str">
        <f>IF(COUNTIF(D:D,D100)&gt;1,"D","N")</f>
        <v>N</v>
      </c>
      <c r="M100" s="4">
        <f>COUNTIFS(D:D,D100,F:F,"UPDATED")</f>
        <v>0</v>
      </c>
      <c r="N100" s="4">
        <f>COUNTIFS(D:D,D100,F:F,"NOT UPDATED")</f>
        <v>1</v>
      </c>
      <c r="O100" s="4">
        <f>COUNTIF(D:D,D100)</f>
        <v>1</v>
      </c>
    </row>
    <row r="101" spans="1:15" x14ac:dyDescent="0.25">
      <c r="A101">
        <v>312</v>
      </c>
      <c r="B101" t="s">
        <v>341</v>
      </c>
      <c r="C101" s="1">
        <v>45805</v>
      </c>
      <c r="D101" t="s">
        <v>682</v>
      </c>
      <c r="E101" t="e">
        <v>#N/A</v>
      </c>
      <c r="F101" t="s">
        <v>11</v>
      </c>
      <c r="G101" t="s">
        <v>517</v>
      </c>
      <c r="H101" t="s">
        <v>194</v>
      </c>
      <c r="I101" t="s">
        <v>683</v>
      </c>
      <c r="J101" s="2">
        <v>-1.83</v>
      </c>
      <c r="K101" s="6" t="str">
        <f>I101&amp;J101</f>
        <v>020242925073S710X00.SI418064X86479-1.83</v>
      </c>
      <c r="L101" s="4" t="str">
        <f>IF(COUNTIF(D:D,D101)&gt;1,"D","N")</f>
        <v>D</v>
      </c>
      <c r="M101" s="4">
        <f>COUNTIFS(D:D,D101,F:F,"UPDATED")</f>
        <v>0</v>
      </c>
      <c r="N101" s="4">
        <f>COUNTIFS(D:D,D101,F:F,"NOT UPDATED")</f>
        <v>3</v>
      </c>
      <c r="O101" s="4">
        <f>COUNTIF(D:D,D101)</f>
        <v>3</v>
      </c>
    </row>
    <row r="102" spans="1:15" x14ac:dyDescent="0.25">
      <c r="A102">
        <v>355</v>
      </c>
      <c r="B102" t="s">
        <v>94</v>
      </c>
      <c r="C102" s="1">
        <v>45805</v>
      </c>
      <c r="D102" t="s">
        <v>738</v>
      </c>
      <c r="E102" t="e">
        <v>#N/A</v>
      </c>
      <c r="F102" t="s">
        <v>11</v>
      </c>
      <c r="G102" s="2">
        <v>50</v>
      </c>
      <c r="H102" t="s">
        <v>194</v>
      </c>
      <c r="I102" t="s">
        <v>683</v>
      </c>
      <c r="J102" s="2">
        <v>-1.83</v>
      </c>
      <c r="K102" s="6" t="str">
        <f>I102&amp;J102</f>
        <v>020242925073S710X00.SI418064X86479-1.83</v>
      </c>
      <c r="L102" s="4" t="str">
        <f>IF(COUNTIF(D:D,D102)&gt;1,"D","N")</f>
        <v>D</v>
      </c>
      <c r="M102" s="4">
        <f>COUNTIFS(D:D,D102,F:F,"UPDATED")</f>
        <v>0</v>
      </c>
      <c r="N102" s="4">
        <f>COUNTIFS(D:D,D102,F:F,"NOT UPDATED")</f>
        <v>3</v>
      </c>
      <c r="O102" s="4">
        <f>COUNTIF(D:D,D102)</f>
        <v>3</v>
      </c>
    </row>
    <row r="103" spans="1:15" x14ac:dyDescent="0.25">
      <c r="A103">
        <v>283</v>
      </c>
      <c r="B103" t="s">
        <v>341</v>
      </c>
      <c r="C103" s="1">
        <v>45798</v>
      </c>
      <c r="D103" t="s">
        <v>625</v>
      </c>
      <c r="E103" t="e">
        <v>#N/A</v>
      </c>
      <c r="F103" t="s">
        <v>11</v>
      </c>
      <c r="G103" s="2">
        <v>5591</v>
      </c>
      <c r="H103" t="s">
        <v>15</v>
      </c>
      <c r="I103" t="s">
        <v>641</v>
      </c>
      <c r="J103" s="2">
        <v>255.44</v>
      </c>
      <c r="K103" s="6" t="str">
        <f>I103&amp;J103</f>
        <v>02024316502K9940X.SI431647X1429255.44</v>
      </c>
      <c r="L103" s="4" t="str">
        <f>IF(COUNTIF(D:D,D103)&gt;1,"D","N")</f>
        <v>D</v>
      </c>
      <c r="M103" s="4">
        <f>COUNTIFS(D:D,D103,F:F,"UPDATED")</f>
        <v>0</v>
      </c>
      <c r="N103" s="4">
        <f>COUNTIFS(D:D,D103,F:F,"NOT UPDATED")</f>
        <v>17</v>
      </c>
      <c r="O103" s="4">
        <f>COUNTIF(D:D,D103)</f>
        <v>17</v>
      </c>
    </row>
    <row r="104" spans="1:15" x14ac:dyDescent="0.25">
      <c r="A104">
        <v>377</v>
      </c>
      <c r="C104" s="1">
        <v>45798</v>
      </c>
      <c r="D104" t="s">
        <v>747</v>
      </c>
      <c r="E104" t="e">
        <v>#N/A</v>
      </c>
      <c r="F104" t="s">
        <v>11</v>
      </c>
      <c r="G104" s="2">
        <v>5591</v>
      </c>
      <c r="H104" t="s">
        <v>15</v>
      </c>
      <c r="I104" t="s">
        <v>641</v>
      </c>
      <c r="J104" s="2">
        <v>255.44</v>
      </c>
      <c r="K104" s="6" t="str">
        <f>I104&amp;J104</f>
        <v>02024316502K9940X.SI431647X1429255.44</v>
      </c>
      <c r="L104" s="4" t="str">
        <f>IF(COUNTIF(D:D,D104)&gt;1,"D","N")</f>
        <v>D</v>
      </c>
      <c r="M104" s="4">
        <f>COUNTIFS(D:D,D104,F:F,"UPDATED")</f>
        <v>0</v>
      </c>
      <c r="N104" s="4">
        <f>COUNTIFS(D:D,D104,F:F,"NOT UPDATED")</f>
        <v>3</v>
      </c>
      <c r="O104" s="4">
        <f>COUNTIF(D:D,D104)</f>
        <v>3</v>
      </c>
    </row>
    <row r="105" spans="1:15" x14ac:dyDescent="0.25">
      <c r="A105">
        <v>80</v>
      </c>
      <c r="B105" t="s">
        <v>341</v>
      </c>
      <c r="C105" s="1">
        <v>45784</v>
      </c>
      <c r="D105" t="s">
        <v>434</v>
      </c>
      <c r="E105" t="e">
        <v>#N/A</v>
      </c>
      <c r="F105" t="s">
        <v>11</v>
      </c>
      <c r="G105" s="2">
        <v>21850.41</v>
      </c>
      <c r="H105">
        <v>72</v>
      </c>
      <c r="I105" t="s">
        <v>435</v>
      </c>
      <c r="J105" s="2">
        <v>-137.16</v>
      </c>
      <c r="K105" s="6" t="str">
        <f>I105&amp;J105</f>
        <v>02024337502390P0X01.SI443947X36508-137.16</v>
      </c>
      <c r="L105" s="4" t="str">
        <f>IF(COUNTIF(D:D,D105)&gt;1,"D","N")</f>
        <v>D</v>
      </c>
      <c r="M105" s="4">
        <f>COUNTIFS(D:D,D105,F:F,"UPDATED")</f>
        <v>0</v>
      </c>
      <c r="N105" s="4">
        <f>COUNTIFS(D:D,D105,F:F,"NOT UPDATED")</f>
        <v>6</v>
      </c>
      <c r="O105" s="4">
        <f>COUNTIF(D:D,D105)</f>
        <v>6</v>
      </c>
    </row>
    <row r="106" spans="1:15" x14ac:dyDescent="0.25">
      <c r="A106">
        <v>82</v>
      </c>
      <c r="B106" t="s">
        <v>341</v>
      </c>
      <c r="C106" s="1">
        <v>45784</v>
      </c>
      <c r="D106" t="s">
        <v>434</v>
      </c>
      <c r="E106" t="e">
        <v>#N/A</v>
      </c>
      <c r="F106" t="s">
        <v>11</v>
      </c>
      <c r="G106" s="2">
        <v>21850.41</v>
      </c>
      <c r="H106" t="s">
        <v>97</v>
      </c>
      <c r="I106" t="s">
        <v>435</v>
      </c>
      <c r="J106" s="2">
        <v>-137.16</v>
      </c>
      <c r="K106" s="6" t="str">
        <f>I106&amp;J106</f>
        <v>02024337502390P0X01.SI443947X36508-137.16</v>
      </c>
      <c r="L106" s="4" t="str">
        <f>IF(COUNTIF(D:D,D106)&gt;1,"D","N")</f>
        <v>D</v>
      </c>
      <c r="M106" s="4">
        <f>COUNTIFS(D:D,D106,F:F,"UPDATED")</f>
        <v>0</v>
      </c>
      <c r="N106" s="4">
        <f>COUNTIFS(D:D,D106,F:F,"NOT UPDATED")</f>
        <v>6</v>
      </c>
      <c r="O106" s="4">
        <f>COUNTIF(D:D,D106)</f>
        <v>6</v>
      </c>
    </row>
    <row r="107" spans="1:15" x14ac:dyDescent="0.25">
      <c r="A107">
        <v>337</v>
      </c>
      <c r="B107" t="s">
        <v>94</v>
      </c>
      <c r="C107" s="1">
        <v>45800</v>
      </c>
      <c r="D107" t="s">
        <v>716</v>
      </c>
      <c r="E107" t="e">
        <v>#N/A</v>
      </c>
      <c r="F107" t="s">
        <v>11</v>
      </c>
      <c r="G107" s="2">
        <v>22203.57</v>
      </c>
      <c r="H107" t="s">
        <v>15</v>
      </c>
      <c r="I107" t="s">
        <v>720</v>
      </c>
      <c r="J107" s="2">
        <v>94.63</v>
      </c>
      <c r="K107" s="6" t="str">
        <f>I107&amp;J107</f>
        <v>020243375024Z050X.SI443409X864794.63</v>
      </c>
      <c r="L107" s="4" t="str">
        <f>IF(COUNTIF(D:D,D107)&gt;1,"D","N")</f>
        <v>D</v>
      </c>
      <c r="M107" s="4">
        <f>COUNTIFS(D:D,D107,F:F,"UPDATED")</f>
        <v>0</v>
      </c>
      <c r="N107" s="4">
        <f>COUNTIFS(D:D,D107,F:F,"NOT UPDATED")</f>
        <v>4</v>
      </c>
      <c r="O107" s="4">
        <f>COUNTIF(D:D,D107)</f>
        <v>4</v>
      </c>
    </row>
    <row r="108" spans="1:15" x14ac:dyDescent="0.25">
      <c r="A108">
        <v>373</v>
      </c>
      <c r="C108" s="1">
        <v>45800</v>
      </c>
      <c r="D108" t="s">
        <v>744</v>
      </c>
      <c r="E108" t="e">
        <v>#N/A</v>
      </c>
      <c r="F108" t="s">
        <v>11</v>
      </c>
      <c r="G108" s="2">
        <v>22203.57</v>
      </c>
      <c r="H108" t="s">
        <v>15</v>
      </c>
      <c r="I108" t="s">
        <v>720</v>
      </c>
      <c r="J108" s="2">
        <v>94.63</v>
      </c>
      <c r="K108" s="6" t="str">
        <f>I108&amp;J108</f>
        <v>020243375024Z050X.SI443409X864794.63</v>
      </c>
      <c r="L108" s="4" t="str">
        <f>IF(COUNTIF(D:D,D108)&gt;1,"D","N")</f>
        <v>D</v>
      </c>
      <c r="M108" s="4">
        <f>COUNTIFS(D:D,D108,F:F,"UPDATED")</f>
        <v>0</v>
      </c>
      <c r="N108" s="4">
        <f>COUNTIFS(D:D,D108,F:F,"NOT UPDATED")</f>
        <v>4</v>
      </c>
      <c r="O108" s="4">
        <f>COUNTIF(D:D,D108)</f>
        <v>4</v>
      </c>
    </row>
    <row r="109" spans="1:15" x14ac:dyDescent="0.25">
      <c r="A109">
        <v>305</v>
      </c>
      <c r="B109" t="s">
        <v>341</v>
      </c>
      <c r="C109" t="s">
        <v>669</v>
      </c>
      <c r="D109" t="s">
        <v>672</v>
      </c>
      <c r="E109" t="e">
        <v>#N/A</v>
      </c>
      <c r="F109" t="s">
        <v>11</v>
      </c>
      <c r="G109" s="2">
        <v>25891.13</v>
      </c>
      <c r="H109" t="s">
        <v>29</v>
      </c>
      <c r="I109" t="s">
        <v>674</v>
      </c>
      <c r="J109" s="2">
        <v>-140.4</v>
      </c>
      <c r="K109" s="6" t="str">
        <f>I109&amp;J109</f>
        <v>0202435850410E70X01.SI455908X70576-140.4</v>
      </c>
      <c r="L109" s="4" t="str">
        <f>IF(COUNTIF(D:D,D109)&gt;1,"D","N")</f>
        <v>D</v>
      </c>
      <c r="M109" s="4">
        <f>COUNTIFS(D:D,D109,F:F,"UPDATED")</f>
        <v>0</v>
      </c>
      <c r="N109" s="4">
        <f>COUNTIFS(D:D,D109,F:F,"NOT UPDATED")</f>
        <v>2</v>
      </c>
      <c r="O109" s="4">
        <f>COUNTIF(D:D,D109)</f>
        <v>2</v>
      </c>
    </row>
    <row r="110" spans="1:15" x14ac:dyDescent="0.25">
      <c r="A110">
        <v>350</v>
      </c>
      <c r="B110" t="s">
        <v>94</v>
      </c>
      <c r="C110" s="1">
        <v>45806</v>
      </c>
      <c r="D110" t="s">
        <v>736</v>
      </c>
      <c r="E110" t="e">
        <v>#N/A</v>
      </c>
      <c r="F110" t="s">
        <v>11</v>
      </c>
      <c r="G110" s="2">
        <v>25891.13</v>
      </c>
      <c r="H110" t="s">
        <v>29</v>
      </c>
      <c r="I110" t="s">
        <v>674</v>
      </c>
      <c r="J110" s="2">
        <v>-140.4</v>
      </c>
      <c r="K110" s="6" t="str">
        <f>I110&amp;J110</f>
        <v>0202435850410E70X01.SI455908X70576-140.4</v>
      </c>
      <c r="L110" s="4" t="str">
        <f>IF(COUNTIF(D:D,D110)&gt;1,"D","N")</f>
        <v>D</v>
      </c>
      <c r="M110" s="4">
        <f>COUNTIFS(D:D,D110,F:F,"UPDATED")</f>
        <v>0</v>
      </c>
      <c r="N110" s="4">
        <f>COUNTIFS(D:D,D110,F:F,"NOT UPDATED")</f>
        <v>2</v>
      </c>
      <c r="O110" s="4">
        <f>COUNTIF(D:D,D110)</f>
        <v>2</v>
      </c>
    </row>
    <row r="111" spans="1:15" x14ac:dyDescent="0.25">
      <c r="A111">
        <v>284</v>
      </c>
      <c r="B111" t="s">
        <v>341</v>
      </c>
      <c r="C111" s="1">
        <v>45798</v>
      </c>
      <c r="D111" t="s">
        <v>625</v>
      </c>
      <c r="E111" t="e">
        <v>#N/A</v>
      </c>
      <c r="F111" t="s">
        <v>11</v>
      </c>
      <c r="G111" s="2">
        <v>5591</v>
      </c>
      <c r="H111" t="s">
        <v>15</v>
      </c>
      <c r="I111" t="s">
        <v>642</v>
      </c>
      <c r="J111" s="2">
        <v>379.22</v>
      </c>
      <c r="K111" s="6" t="str">
        <f>I111&amp;J111</f>
        <v>02025006508123T0X.SI463005X98275379.22</v>
      </c>
      <c r="L111" s="4" t="str">
        <f>IF(COUNTIF(D:D,D111)&gt;1,"D","N")</f>
        <v>D</v>
      </c>
      <c r="M111" s="4">
        <f>COUNTIFS(D:D,D111,F:F,"UPDATED")</f>
        <v>0</v>
      </c>
      <c r="N111" s="4">
        <f>COUNTIFS(D:D,D111,F:F,"NOT UPDATED")</f>
        <v>17</v>
      </c>
      <c r="O111" s="4">
        <f>COUNTIF(D:D,D111)</f>
        <v>17</v>
      </c>
    </row>
    <row r="112" spans="1:15" x14ac:dyDescent="0.25">
      <c r="A112">
        <v>378</v>
      </c>
      <c r="C112" s="1">
        <v>45798</v>
      </c>
      <c r="D112" t="s">
        <v>747</v>
      </c>
      <c r="E112" t="e">
        <v>#N/A</v>
      </c>
      <c r="F112" t="s">
        <v>11</v>
      </c>
      <c r="G112" s="2">
        <v>5591</v>
      </c>
      <c r="H112" t="s">
        <v>15</v>
      </c>
      <c r="I112" t="s">
        <v>642</v>
      </c>
      <c r="J112" s="2">
        <v>379.22</v>
      </c>
      <c r="K112" s="6" t="str">
        <f>I112&amp;J112</f>
        <v>02025006508123T0X.SI463005X98275379.22</v>
      </c>
      <c r="L112" s="4" t="str">
        <f>IF(COUNTIF(D:D,D112)&gt;1,"D","N")</f>
        <v>D</v>
      </c>
      <c r="M112" s="4">
        <f>COUNTIFS(D:D,D112,F:F,"UPDATED")</f>
        <v>0</v>
      </c>
      <c r="N112" s="4">
        <f>COUNTIFS(D:D,D112,F:F,"NOT UPDATED")</f>
        <v>3</v>
      </c>
      <c r="O112" s="4">
        <f>COUNTIF(D:D,D112)</f>
        <v>3</v>
      </c>
    </row>
    <row r="113" spans="1:15" x14ac:dyDescent="0.25">
      <c r="A113">
        <v>157</v>
      </c>
      <c r="B113" t="s">
        <v>341</v>
      </c>
      <c r="C113" s="1">
        <v>45789</v>
      </c>
      <c r="D113" t="s">
        <v>499</v>
      </c>
      <c r="E113" t="e">
        <v>#N/A</v>
      </c>
      <c r="F113" t="s">
        <v>11</v>
      </c>
      <c r="G113" t="s">
        <v>500</v>
      </c>
      <c r="H113">
        <v>72</v>
      </c>
      <c r="I113" t="s">
        <v>501</v>
      </c>
      <c r="J113" s="2">
        <v>-132.6</v>
      </c>
      <c r="K113" s="6" t="str">
        <f>I113&amp;J113</f>
        <v>02025007503B8110X01.SI463196X79728-132.6</v>
      </c>
      <c r="L113" s="4" t="str">
        <f>IF(COUNTIF(D:D,D113)&gt;1,"D","N")</f>
        <v>D</v>
      </c>
      <c r="M113" s="4">
        <f>COUNTIFS(D:D,D113,F:F,"UPDATED")</f>
        <v>0</v>
      </c>
      <c r="N113" s="4">
        <f>COUNTIFS(D:D,D113,F:F,"NOT UPDATED")</f>
        <v>4</v>
      </c>
      <c r="O113" s="4">
        <f>COUNTIF(D:D,D113)</f>
        <v>4</v>
      </c>
    </row>
    <row r="114" spans="1:15" x14ac:dyDescent="0.25">
      <c r="A114">
        <v>159</v>
      </c>
      <c r="B114" t="s">
        <v>341</v>
      </c>
      <c r="C114" s="1">
        <v>45789</v>
      </c>
      <c r="D114" t="s">
        <v>499</v>
      </c>
      <c r="E114" t="e">
        <v>#N/A</v>
      </c>
      <c r="F114" t="s">
        <v>11</v>
      </c>
      <c r="G114" t="s">
        <v>500</v>
      </c>
      <c r="H114" t="s">
        <v>97</v>
      </c>
      <c r="I114" t="s">
        <v>501</v>
      </c>
      <c r="J114" s="2">
        <v>-132.6</v>
      </c>
      <c r="K114" s="6" t="str">
        <f>I114&amp;J114</f>
        <v>02025007503B8110X01.SI463196X79728-132.6</v>
      </c>
      <c r="L114" s="4" t="str">
        <f>IF(COUNTIF(D:D,D114)&gt;1,"D","N")</f>
        <v>D</v>
      </c>
      <c r="M114" s="4">
        <f>COUNTIFS(D:D,D114,F:F,"UPDATED")</f>
        <v>0</v>
      </c>
      <c r="N114" s="4">
        <f>COUNTIFS(D:D,D114,F:F,"NOT UPDATED")</f>
        <v>4</v>
      </c>
      <c r="O114" s="4">
        <f>COUNTIF(D:D,D114)</f>
        <v>4</v>
      </c>
    </row>
    <row r="115" spans="1:15" x14ac:dyDescent="0.25">
      <c r="A115">
        <v>33</v>
      </c>
      <c r="B115" t="s">
        <v>341</v>
      </c>
      <c r="C115" s="1">
        <v>45783</v>
      </c>
      <c r="D115" t="s">
        <v>379</v>
      </c>
      <c r="E115" t="s">
        <v>379</v>
      </c>
      <c r="F115" t="s">
        <v>339</v>
      </c>
      <c r="G115" t="s">
        <v>380</v>
      </c>
      <c r="H115">
        <v>72</v>
      </c>
      <c r="I115" t="s">
        <v>381</v>
      </c>
      <c r="J115" s="2">
        <v>-6.2</v>
      </c>
      <c r="K115" s="6" t="str">
        <f>I115&amp;J115</f>
        <v>02025007509A0040X01.SI463188X24724-6.2</v>
      </c>
      <c r="L115" s="4" t="str">
        <f>IF(COUNTIF(D:D,D115)&gt;1,"D","N")</f>
        <v>D</v>
      </c>
      <c r="M115" s="4">
        <f>COUNTIFS(D:D,D115,F:F,"UPDATED")</f>
        <v>5</v>
      </c>
      <c r="N115" s="4">
        <f>COUNTIFS(D:D,D115,F:F,"NOT UPDATED")</f>
        <v>0</v>
      </c>
      <c r="O115" s="4">
        <f>COUNTIF(D:D,D115)</f>
        <v>5</v>
      </c>
    </row>
    <row r="116" spans="1:15" x14ac:dyDescent="0.25">
      <c r="A116">
        <v>35</v>
      </c>
      <c r="B116" t="s">
        <v>341</v>
      </c>
      <c r="C116" s="1">
        <v>45783</v>
      </c>
      <c r="D116" t="s">
        <v>379</v>
      </c>
      <c r="E116" t="s">
        <v>379</v>
      </c>
      <c r="F116" t="s">
        <v>339</v>
      </c>
      <c r="G116" t="s">
        <v>380</v>
      </c>
      <c r="H116" t="s">
        <v>97</v>
      </c>
      <c r="I116" t="s">
        <v>381</v>
      </c>
      <c r="J116" s="2">
        <v>-6.2</v>
      </c>
      <c r="K116" s="6" t="str">
        <f>I116&amp;J116</f>
        <v>02025007509A0040X01.SI463188X24724-6.2</v>
      </c>
      <c r="L116" s="4" t="str">
        <f>IF(COUNTIF(D:D,D116)&gt;1,"D","N")</f>
        <v>D</v>
      </c>
      <c r="M116" s="4">
        <f>COUNTIFS(D:D,D116,F:F,"UPDATED")</f>
        <v>5</v>
      </c>
      <c r="N116" s="4">
        <f>COUNTIFS(D:D,D116,F:F,"NOT UPDATED")</f>
        <v>0</v>
      </c>
      <c r="O116" s="4">
        <f>COUNTIF(D:D,D116)</f>
        <v>5</v>
      </c>
    </row>
    <row r="117" spans="1:15" x14ac:dyDescent="0.25">
      <c r="A117">
        <v>38</v>
      </c>
      <c r="B117" t="s">
        <v>341</v>
      </c>
      <c r="C117" s="1">
        <v>45783</v>
      </c>
      <c r="D117" t="s">
        <v>384</v>
      </c>
      <c r="E117" t="e">
        <v>#N/A</v>
      </c>
      <c r="F117" t="s">
        <v>11</v>
      </c>
      <c r="G117" s="2">
        <v>11997.26</v>
      </c>
      <c r="H117">
        <v>72</v>
      </c>
      <c r="I117" t="s">
        <v>385</v>
      </c>
      <c r="J117" s="2">
        <v>-44.47</v>
      </c>
      <c r="K117" s="6" t="str">
        <f>I117&amp;J117</f>
        <v>0202502950Z05730X01.SI476177X28103-44.47</v>
      </c>
      <c r="L117" s="4" t="str">
        <f>IF(COUNTIF(D:D,D117)&gt;1,"D","N")</f>
        <v>D</v>
      </c>
      <c r="M117" s="4">
        <f>COUNTIFS(D:D,D117,F:F,"UPDATED")</f>
        <v>0</v>
      </c>
      <c r="N117" s="4">
        <f>COUNTIFS(D:D,D117,F:F,"NOT UPDATED")</f>
        <v>3</v>
      </c>
      <c r="O117" s="4">
        <f>COUNTIF(D:D,D117)</f>
        <v>3</v>
      </c>
    </row>
    <row r="118" spans="1:15" x14ac:dyDescent="0.25">
      <c r="A118">
        <v>40</v>
      </c>
      <c r="B118" t="s">
        <v>341</v>
      </c>
      <c r="C118" s="1">
        <v>45783</v>
      </c>
      <c r="D118" t="s">
        <v>384</v>
      </c>
      <c r="E118" t="e">
        <v>#N/A</v>
      </c>
      <c r="F118" t="s">
        <v>11</v>
      </c>
      <c r="G118" s="2">
        <v>11997.26</v>
      </c>
      <c r="H118" t="s">
        <v>97</v>
      </c>
      <c r="I118" t="s">
        <v>385</v>
      </c>
      <c r="J118" s="2">
        <v>-44.47</v>
      </c>
      <c r="K118" s="6" t="str">
        <f>I118&amp;J118</f>
        <v>0202502950Z05730X01.SI476177X28103-44.47</v>
      </c>
      <c r="L118" s="4" t="str">
        <f>IF(COUNTIF(D:D,D118)&gt;1,"D","N")</f>
        <v>D</v>
      </c>
      <c r="M118" s="4">
        <f>COUNTIFS(D:D,D118,F:F,"UPDATED")</f>
        <v>0</v>
      </c>
      <c r="N118" s="4">
        <f>COUNTIFS(D:D,D118,F:F,"NOT UPDATED")</f>
        <v>3</v>
      </c>
      <c r="O118" s="4">
        <f>COUNTIF(D:D,D118)</f>
        <v>3</v>
      </c>
    </row>
    <row r="119" spans="1:15" x14ac:dyDescent="0.25">
      <c r="A119">
        <v>314</v>
      </c>
      <c r="B119" t="s">
        <v>341</v>
      </c>
      <c r="C119" s="1">
        <v>45805</v>
      </c>
      <c r="D119" t="s">
        <v>685</v>
      </c>
      <c r="E119" t="e">
        <v>#N/A</v>
      </c>
      <c r="F119" t="s">
        <v>11</v>
      </c>
      <c r="G119" t="s">
        <v>686</v>
      </c>
      <c r="H119" t="s">
        <v>29</v>
      </c>
      <c r="I119" s="3" t="s">
        <v>687</v>
      </c>
      <c r="J119" s="2">
        <v>-129.33000000000001</v>
      </c>
      <c r="K119" s="6" t="str">
        <f>I119&amp;J119</f>
        <v>02025048507E9970X00.SI486375X101120-129.33</v>
      </c>
      <c r="L119" s="4" t="str">
        <f>IF(COUNTIF(D:D,D119)&gt;1,"D","N")</f>
        <v>N</v>
      </c>
      <c r="M119" s="4">
        <f>COUNTIFS(D:D,D119,F:F,"UPDATED")</f>
        <v>0</v>
      </c>
      <c r="N119" s="4">
        <f>COUNTIFS(D:D,D119,F:F,"NOT UPDATED")</f>
        <v>1</v>
      </c>
      <c r="O119" s="4">
        <f>COUNTIF(D:D,D119)</f>
        <v>1</v>
      </c>
    </row>
    <row r="120" spans="1:15" x14ac:dyDescent="0.25">
      <c r="A120">
        <v>357</v>
      </c>
      <c r="B120" t="s">
        <v>94</v>
      </c>
      <c r="C120" s="1">
        <v>45805</v>
      </c>
      <c r="D120" t="s">
        <v>739</v>
      </c>
      <c r="E120" t="s">
        <v>739</v>
      </c>
      <c r="F120" t="s">
        <v>339</v>
      </c>
      <c r="G120" s="2">
        <v>10810.91</v>
      </c>
      <c r="H120" t="s">
        <v>29</v>
      </c>
      <c r="I120" s="3" t="s">
        <v>687</v>
      </c>
      <c r="J120" s="2">
        <v>-129.33000000000001</v>
      </c>
      <c r="K120" s="6" t="str">
        <f>I120&amp;J120</f>
        <v>02025048507E9970X00.SI486375X101120-129.33</v>
      </c>
      <c r="L120" s="4" t="str">
        <f>IF(COUNTIF(D:D,D120)&gt;1,"D","N")</f>
        <v>N</v>
      </c>
      <c r="M120" s="4">
        <f>COUNTIFS(D:D,D120,F:F,"UPDATED")</f>
        <v>1</v>
      </c>
      <c r="N120" s="4">
        <f>COUNTIFS(D:D,D120,F:F,"NOT UPDATED")</f>
        <v>0</v>
      </c>
      <c r="O120" s="4">
        <f>COUNTIF(D:D,D120)</f>
        <v>1</v>
      </c>
    </row>
    <row r="121" spans="1:15" x14ac:dyDescent="0.25">
      <c r="A121">
        <v>333</v>
      </c>
      <c r="B121" t="s">
        <v>345</v>
      </c>
      <c r="C121" s="1">
        <v>45800</v>
      </c>
      <c r="D121" t="s">
        <v>712</v>
      </c>
      <c r="E121" t="e">
        <v>#N/A</v>
      </c>
      <c r="F121" t="s">
        <v>11</v>
      </c>
      <c r="G121" s="2">
        <v>11557.6</v>
      </c>
      <c r="H121" t="s">
        <v>29</v>
      </c>
      <c r="I121" t="s">
        <v>715</v>
      </c>
      <c r="J121" s="2">
        <v>-312.61</v>
      </c>
      <c r="K121" s="6" t="str">
        <f>I121&amp;J121</f>
        <v>02025065506Q5600X00.SI499014X103610-312.61</v>
      </c>
      <c r="L121" s="4" t="str">
        <f>IF(COUNTIF(D:D,D121)&gt;1,"D","N")</f>
        <v>D</v>
      </c>
      <c r="M121" s="4">
        <f>COUNTIFS(D:D,D121,F:F,"UPDATED")</f>
        <v>0</v>
      </c>
      <c r="N121" s="4">
        <f>COUNTIFS(D:D,D121,F:F,"NOT UPDATED")</f>
        <v>3</v>
      </c>
      <c r="O121" s="4">
        <f>COUNTIF(D:D,D121)</f>
        <v>3</v>
      </c>
    </row>
    <row r="122" spans="1:15" x14ac:dyDescent="0.25">
      <c r="A122">
        <v>369</v>
      </c>
      <c r="B122" t="s">
        <v>94</v>
      </c>
      <c r="C122" s="1">
        <v>45800</v>
      </c>
      <c r="D122" t="s">
        <v>743</v>
      </c>
      <c r="E122" t="e">
        <v>#N/A</v>
      </c>
      <c r="F122" t="s">
        <v>11</v>
      </c>
      <c r="G122" s="2">
        <v>11557.6</v>
      </c>
      <c r="H122" t="s">
        <v>29</v>
      </c>
      <c r="I122" t="s">
        <v>715</v>
      </c>
      <c r="J122" s="2">
        <v>-312.61</v>
      </c>
      <c r="K122" s="6" t="str">
        <f>I122&amp;J122</f>
        <v>02025065506Q5600X00.SI499014X103610-312.61</v>
      </c>
      <c r="L122" s="4" t="str">
        <f>IF(COUNTIF(D:D,D122)&gt;1,"D","N")</f>
        <v>D</v>
      </c>
      <c r="M122" s="4">
        <f>COUNTIFS(D:D,D122,F:F,"UPDATED")</f>
        <v>0</v>
      </c>
      <c r="N122" s="4">
        <f>COUNTIFS(D:D,D122,F:F,"NOT UPDATED")</f>
        <v>3</v>
      </c>
      <c r="O122" s="4">
        <f>COUNTIF(D:D,D122)</f>
        <v>3</v>
      </c>
    </row>
    <row r="123" spans="1:15" hidden="1" x14ac:dyDescent="0.25">
      <c r="A123">
        <v>122</v>
      </c>
      <c r="B123" t="s">
        <v>10</v>
      </c>
      <c r="C123" s="1">
        <v>45784</v>
      </c>
      <c r="D123">
        <v>800461395</v>
      </c>
      <c r="E123" t="e">
        <v>#N/A</v>
      </c>
      <c r="F123" t="s">
        <v>11</v>
      </c>
      <c r="G123" s="2">
        <v>14568.49</v>
      </c>
      <c r="H123" t="s">
        <v>12</v>
      </c>
      <c r="I123" t="s">
        <v>458</v>
      </c>
      <c r="J123" s="2">
        <v>-49.43</v>
      </c>
      <c r="K123" s="6" t="str">
        <f>I123&amp;J123</f>
        <v>SI518274X20756-49.43</v>
      </c>
      <c r="L123" s="4" t="str">
        <f>IF(COUNTIF(D:D,D123)&gt;1,"D","N")</f>
        <v>N</v>
      </c>
      <c r="M123" s="4">
        <f>COUNTIFS(D:D,D123,F:F,"UPDATED")</f>
        <v>0</v>
      </c>
      <c r="N123" s="4">
        <f>COUNTIFS(D:D,D123,F:F,"NOT UPDATED")</f>
        <v>1</v>
      </c>
      <c r="O123" s="4">
        <f>COUNTIF(D:D,D123)</f>
        <v>1</v>
      </c>
    </row>
    <row r="124" spans="1:15" hidden="1" x14ac:dyDescent="0.25">
      <c r="A124">
        <v>123</v>
      </c>
      <c r="B124" t="s">
        <v>341</v>
      </c>
      <c r="C124" s="1">
        <v>45785</v>
      </c>
      <c r="D124" t="s">
        <v>459</v>
      </c>
      <c r="E124" t="e">
        <v>#N/A</v>
      </c>
      <c r="F124" t="s">
        <v>11</v>
      </c>
      <c r="G124" t="s">
        <v>460</v>
      </c>
      <c r="H124" t="s">
        <v>194</v>
      </c>
      <c r="I124" t="s">
        <v>461</v>
      </c>
      <c r="J124" s="2">
        <v>-49.27</v>
      </c>
      <c r="K124" s="6" t="str">
        <f>I124&amp;J124</f>
        <v>0202407550833Y30X00.SI283489X27050-49.27</v>
      </c>
      <c r="L124" s="4" t="str">
        <f>IF(COUNTIF(D:D,D124)&gt;1,"D","N")</f>
        <v>D</v>
      </c>
      <c r="M124" s="4">
        <f>COUNTIFS(D:D,D124,F:F,"UPDATED")</f>
        <v>0</v>
      </c>
      <c r="N124" s="4">
        <f>COUNTIFS(D:D,D124,F:F,"NOT UPDATED")</f>
        <v>2</v>
      </c>
      <c r="O124" s="4">
        <f>COUNTIF(D:D,D124)</f>
        <v>2</v>
      </c>
    </row>
    <row r="125" spans="1:15" hidden="1" x14ac:dyDescent="0.25">
      <c r="A125">
        <v>124</v>
      </c>
      <c r="B125" t="s">
        <v>341</v>
      </c>
      <c r="C125" s="1">
        <v>45785</v>
      </c>
      <c r="D125" t="s">
        <v>459</v>
      </c>
      <c r="E125" t="e">
        <v>#N/A</v>
      </c>
      <c r="F125" t="s">
        <v>11</v>
      </c>
      <c r="G125" t="s">
        <v>460</v>
      </c>
      <c r="H125" t="s">
        <v>29</v>
      </c>
      <c r="I125" t="s">
        <v>462</v>
      </c>
      <c r="J125" s="2">
        <v>-73.930000000000007</v>
      </c>
      <c r="K125" s="6" t="str">
        <f>I125&amp;J125</f>
        <v>02025059504523P0X00.SI485780X101602-73.93</v>
      </c>
      <c r="L125" s="4" t="str">
        <f>IF(COUNTIF(D:D,D125)&gt;1,"D","N")</f>
        <v>D</v>
      </c>
      <c r="M125" s="4">
        <f>COUNTIFS(D:D,D125,F:F,"UPDATED")</f>
        <v>0</v>
      </c>
      <c r="N125" s="4">
        <f>COUNTIFS(D:D,D125,F:F,"NOT UPDATED")</f>
        <v>2</v>
      </c>
      <c r="O125" s="4">
        <f>COUNTIF(D:D,D125)</f>
        <v>2</v>
      </c>
    </row>
    <row r="126" spans="1:15" hidden="1" x14ac:dyDescent="0.25">
      <c r="A126">
        <v>125</v>
      </c>
      <c r="B126" t="s">
        <v>341</v>
      </c>
      <c r="C126" s="1">
        <v>45785</v>
      </c>
      <c r="D126" t="s">
        <v>463</v>
      </c>
      <c r="E126" t="e">
        <v>#N/A</v>
      </c>
      <c r="F126" t="s">
        <v>11</v>
      </c>
      <c r="G126" t="s">
        <v>464</v>
      </c>
      <c r="H126" t="s">
        <v>29</v>
      </c>
      <c r="I126" t="s">
        <v>465</v>
      </c>
      <c r="J126" s="2">
        <v>-76.12</v>
      </c>
      <c r="K126" s="6" t="str">
        <f>I126&amp;J126</f>
        <v>8.0202431050T91040X00.SI428419X62916-76.12</v>
      </c>
      <c r="L126" s="4" t="str">
        <f>IF(COUNTIF(D:D,D126)&gt;1,"D","N")</f>
        <v>D</v>
      </c>
      <c r="M126" s="4">
        <f>COUNTIFS(D:D,D126,F:F,"UPDATED")</f>
        <v>0</v>
      </c>
      <c r="N126" s="4">
        <f>COUNTIFS(D:D,D126,F:F,"NOT UPDATED")</f>
        <v>8</v>
      </c>
      <c r="O126" s="4">
        <f>COUNTIF(D:D,D126)</f>
        <v>8</v>
      </c>
    </row>
    <row r="127" spans="1:15" hidden="1" x14ac:dyDescent="0.25">
      <c r="A127">
        <v>126</v>
      </c>
      <c r="B127" t="s">
        <v>341</v>
      </c>
      <c r="C127" s="1">
        <v>45785</v>
      </c>
      <c r="D127" t="s">
        <v>463</v>
      </c>
      <c r="E127" t="e">
        <v>#N/A</v>
      </c>
      <c r="F127" t="s">
        <v>11</v>
      </c>
      <c r="G127" t="s">
        <v>464</v>
      </c>
      <c r="H127" t="s">
        <v>29</v>
      </c>
      <c r="I127" t="s">
        <v>466</v>
      </c>
      <c r="J127" s="2">
        <v>-77.010000000000005</v>
      </c>
      <c r="K127" s="6" t="str">
        <f>I127&amp;J127</f>
        <v>8.02024312503342N0X00.SI428905X93610-77.01</v>
      </c>
      <c r="L127" s="4" t="str">
        <f>IF(COUNTIF(D:D,D127)&gt;1,"D","N")</f>
        <v>D</v>
      </c>
      <c r="M127" s="4">
        <f>COUNTIFS(D:D,D127,F:F,"UPDATED")</f>
        <v>0</v>
      </c>
      <c r="N127" s="4">
        <f>COUNTIFS(D:D,D127,F:F,"NOT UPDATED")</f>
        <v>8</v>
      </c>
      <c r="O127" s="4">
        <f>COUNTIF(D:D,D127)</f>
        <v>8</v>
      </c>
    </row>
    <row r="128" spans="1:15" hidden="1" x14ac:dyDescent="0.25">
      <c r="A128">
        <v>127</v>
      </c>
      <c r="B128" t="s">
        <v>341</v>
      </c>
      <c r="C128" s="1">
        <v>45785</v>
      </c>
      <c r="D128" t="s">
        <v>463</v>
      </c>
      <c r="E128" t="e">
        <v>#N/A</v>
      </c>
      <c r="F128" t="s">
        <v>11</v>
      </c>
      <c r="G128" t="s">
        <v>464</v>
      </c>
      <c r="H128" t="s">
        <v>29</v>
      </c>
      <c r="I128" t="s">
        <v>467</v>
      </c>
      <c r="J128" s="2">
        <v>-148.43</v>
      </c>
      <c r="K128" s="6" t="str">
        <f>I128&amp;J128</f>
        <v>8.0202430650Y73700X00.SI426069X47486-148.43</v>
      </c>
      <c r="L128" s="4" t="str">
        <f>IF(COUNTIF(D:D,D128)&gt;1,"D","N")</f>
        <v>D</v>
      </c>
      <c r="M128" s="4">
        <f>COUNTIFS(D:D,D128,F:F,"UPDATED")</f>
        <v>0</v>
      </c>
      <c r="N128" s="4">
        <f>COUNTIFS(D:D,D128,F:F,"NOT UPDATED")</f>
        <v>8</v>
      </c>
      <c r="O128" s="4">
        <f>COUNTIF(D:D,D128)</f>
        <v>8</v>
      </c>
    </row>
    <row r="129" spans="1:15" hidden="1" x14ac:dyDescent="0.25">
      <c r="A129">
        <v>128</v>
      </c>
      <c r="B129" t="s">
        <v>341</v>
      </c>
      <c r="C129" s="1">
        <v>45785</v>
      </c>
      <c r="D129" t="s">
        <v>463</v>
      </c>
      <c r="E129" t="e">
        <v>#N/A</v>
      </c>
      <c r="F129" t="s">
        <v>11</v>
      </c>
      <c r="G129" t="s">
        <v>464</v>
      </c>
      <c r="H129" t="s">
        <v>29</v>
      </c>
      <c r="I129" t="s">
        <v>468</v>
      </c>
      <c r="J129" s="2">
        <v>-75.69</v>
      </c>
      <c r="K129" s="6" t="str">
        <f>I129&amp;J129</f>
        <v>8.0202431350880B10X00.SI430010X55009-75.69</v>
      </c>
      <c r="L129" s="4" t="str">
        <f>IF(COUNTIF(D:D,D129)&gt;1,"D","N")</f>
        <v>D</v>
      </c>
      <c r="M129" s="4">
        <f>COUNTIFS(D:D,D129,F:F,"UPDATED")</f>
        <v>0</v>
      </c>
      <c r="N129" s="4">
        <f>COUNTIFS(D:D,D129,F:F,"NOT UPDATED")</f>
        <v>8</v>
      </c>
      <c r="O129" s="4">
        <f>COUNTIF(D:D,D129)</f>
        <v>8</v>
      </c>
    </row>
    <row r="130" spans="1:15" hidden="1" x14ac:dyDescent="0.25">
      <c r="A130">
        <v>129</v>
      </c>
      <c r="B130" t="s">
        <v>341</v>
      </c>
      <c r="C130" s="1">
        <v>45785</v>
      </c>
      <c r="D130" t="s">
        <v>463</v>
      </c>
      <c r="E130" t="e">
        <v>#N/A</v>
      </c>
      <c r="F130" t="s">
        <v>11</v>
      </c>
      <c r="G130" t="s">
        <v>464</v>
      </c>
      <c r="H130" t="s">
        <v>29</v>
      </c>
      <c r="I130" t="s">
        <v>469</v>
      </c>
      <c r="J130" s="2">
        <v>-93.85</v>
      </c>
      <c r="K130" s="6" t="str">
        <f>I130&amp;J130</f>
        <v>8.02024312507064L0X00.SI424793X15582-93.85</v>
      </c>
      <c r="L130" s="4" t="str">
        <f>IF(COUNTIF(D:D,D130)&gt;1,"D","N")</f>
        <v>D</v>
      </c>
      <c r="M130" s="4">
        <f>COUNTIFS(D:D,D130,F:F,"UPDATED")</f>
        <v>0</v>
      </c>
      <c r="N130" s="4">
        <f>COUNTIFS(D:D,D130,F:F,"NOT UPDATED")</f>
        <v>8</v>
      </c>
      <c r="O130" s="4">
        <f>COUNTIF(D:D,D130)</f>
        <v>8</v>
      </c>
    </row>
    <row r="131" spans="1:15" hidden="1" x14ac:dyDescent="0.25">
      <c r="A131">
        <v>130</v>
      </c>
      <c r="B131" t="s">
        <v>341</v>
      </c>
      <c r="C131" s="1">
        <v>45785</v>
      </c>
      <c r="D131" t="s">
        <v>463</v>
      </c>
      <c r="E131" t="e">
        <v>#N/A</v>
      </c>
      <c r="F131" t="s">
        <v>11</v>
      </c>
      <c r="G131" t="s">
        <v>464</v>
      </c>
      <c r="H131" t="s">
        <v>29</v>
      </c>
      <c r="I131" t="s">
        <v>470</v>
      </c>
      <c r="J131" s="2">
        <v>-74.06</v>
      </c>
      <c r="K131" s="6" t="str">
        <f>I131&amp;J131</f>
        <v>8.0202427850502T00X00.SI409036X71385-74.06</v>
      </c>
      <c r="L131" s="4" t="str">
        <f>IF(COUNTIF(D:D,D131)&gt;1,"D","N")</f>
        <v>D</v>
      </c>
      <c r="M131" s="4">
        <f>COUNTIFS(D:D,D131,F:F,"UPDATED")</f>
        <v>0</v>
      </c>
      <c r="N131" s="4">
        <f>COUNTIFS(D:D,D131,F:F,"NOT UPDATED")</f>
        <v>8</v>
      </c>
      <c r="O131" s="4">
        <f>COUNTIF(D:D,D131)</f>
        <v>8</v>
      </c>
    </row>
    <row r="132" spans="1:15" hidden="1" x14ac:dyDescent="0.25">
      <c r="A132">
        <v>131</v>
      </c>
      <c r="B132" t="s">
        <v>341</v>
      </c>
      <c r="C132" s="1">
        <v>45785</v>
      </c>
      <c r="D132" t="s">
        <v>463</v>
      </c>
      <c r="E132" t="e">
        <v>#N/A</v>
      </c>
      <c r="F132" t="s">
        <v>11</v>
      </c>
      <c r="G132" t="s">
        <v>464</v>
      </c>
      <c r="H132" t="s">
        <v>29</v>
      </c>
      <c r="I132" t="s">
        <v>471</v>
      </c>
      <c r="J132" s="2">
        <v>-43.75</v>
      </c>
      <c r="K132" s="6" t="str">
        <f>I132&amp;J132</f>
        <v>8.020242825069Q980X00.SI411691X13463-43.75</v>
      </c>
      <c r="L132" s="4" t="str">
        <f>IF(COUNTIF(D:D,D132)&gt;1,"D","N")</f>
        <v>D</v>
      </c>
      <c r="M132" s="4">
        <f>COUNTIFS(D:D,D132,F:F,"UPDATED")</f>
        <v>0</v>
      </c>
      <c r="N132" s="4">
        <f>COUNTIFS(D:D,D132,F:F,"NOT UPDATED")</f>
        <v>8</v>
      </c>
      <c r="O132" s="4">
        <f>COUNTIF(D:D,D132)</f>
        <v>8</v>
      </c>
    </row>
    <row r="133" spans="1:15" hidden="1" x14ac:dyDescent="0.25">
      <c r="A133">
        <v>132</v>
      </c>
      <c r="B133" t="s">
        <v>341</v>
      </c>
      <c r="C133" s="1">
        <v>45785</v>
      </c>
      <c r="D133" t="s">
        <v>463</v>
      </c>
      <c r="E133" t="e">
        <v>#N/A</v>
      </c>
      <c r="F133" t="s">
        <v>11</v>
      </c>
      <c r="G133" t="s">
        <v>464</v>
      </c>
      <c r="H133" t="s">
        <v>29</v>
      </c>
      <c r="I133" t="s">
        <v>472</v>
      </c>
      <c r="J133" s="2">
        <v>-134.06</v>
      </c>
      <c r="K133" s="6" t="str">
        <f>I133&amp;J133</f>
        <v>8.020242625048H720X00.SI397769X2021-134.06</v>
      </c>
      <c r="L133" s="4" t="str">
        <f>IF(COUNTIF(D:D,D133)&gt;1,"D","N")</f>
        <v>D</v>
      </c>
      <c r="M133" s="4">
        <f>COUNTIFS(D:D,D133,F:F,"UPDATED")</f>
        <v>0</v>
      </c>
      <c r="N133" s="4">
        <f>COUNTIFS(D:D,D133,F:F,"NOT UPDATED")</f>
        <v>8</v>
      </c>
      <c r="O133" s="4">
        <f>COUNTIF(D:D,D133)</f>
        <v>8</v>
      </c>
    </row>
    <row r="134" spans="1:15" hidden="1" x14ac:dyDescent="0.25">
      <c r="A134">
        <v>133</v>
      </c>
      <c r="B134" t="s">
        <v>341</v>
      </c>
      <c r="C134" s="1">
        <v>45785</v>
      </c>
      <c r="D134" t="s">
        <v>473</v>
      </c>
      <c r="E134" t="e">
        <v>#N/A</v>
      </c>
      <c r="F134" t="s">
        <v>11</v>
      </c>
      <c r="G134" s="2">
        <v>0</v>
      </c>
      <c r="H134" t="s">
        <v>29</v>
      </c>
      <c r="I134" t="s">
        <v>474</v>
      </c>
      <c r="J134" s="2">
        <v>-128.86000000000001</v>
      </c>
      <c r="K134" s="6" t="str">
        <f>I134&amp;J134</f>
        <v>8.02024312501942Q0X00.SI429211X75492-128.86</v>
      </c>
      <c r="L134" s="4" t="str">
        <f>IF(COUNTIF(D:D,D134)&gt;1,"D","N")</f>
        <v>D</v>
      </c>
      <c r="M134" s="4">
        <f>COUNTIFS(D:D,D134,F:F,"UPDATED")</f>
        <v>0</v>
      </c>
      <c r="N134" s="4">
        <f>COUNTIFS(D:D,D134,F:F,"NOT UPDATED")</f>
        <v>4</v>
      </c>
      <c r="O134" s="4">
        <f>COUNTIF(D:D,D134)</f>
        <v>4</v>
      </c>
    </row>
    <row r="135" spans="1:15" hidden="1" x14ac:dyDescent="0.25">
      <c r="A135">
        <v>134</v>
      </c>
      <c r="B135" t="s">
        <v>341</v>
      </c>
      <c r="C135" s="1">
        <v>45785</v>
      </c>
      <c r="D135" t="s">
        <v>473</v>
      </c>
      <c r="E135" t="e">
        <v>#N/A</v>
      </c>
      <c r="F135" t="s">
        <v>11</v>
      </c>
      <c r="G135" s="2">
        <v>0</v>
      </c>
      <c r="H135" t="s">
        <v>29</v>
      </c>
      <c r="I135" t="s">
        <v>475</v>
      </c>
      <c r="J135" s="2">
        <v>-185.14</v>
      </c>
      <c r="K135" s="6" t="str">
        <f>I135&amp;J135</f>
        <v>8.0202431154800330X00.SI424324X94522-185.14</v>
      </c>
      <c r="L135" s="4" t="str">
        <f>IF(COUNTIF(D:D,D135)&gt;1,"D","N")</f>
        <v>D</v>
      </c>
      <c r="M135" s="4">
        <f>COUNTIFS(D:D,D135,F:F,"UPDATED")</f>
        <v>0</v>
      </c>
      <c r="N135" s="4">
        <f>COUNTIFS(D:D,D135,F:F,"NOT UPDATED")</f>
        <v>4</v>
      </c>
      <c r="O135" s="4">
        <f>COUNTIF(D:D,D135)</f>
        <v>4</v>
      </c>
    </row>
    <row r="136" spans="1:15" hidden="1" x14ac:dyDescent="0.25">
      <c r="A136">
        <v>135</v>
      </c>
      <c r="B136" t="s">
        <v>341</v>
      </c>
      <c r="C136" s="1">
        <v>45785</v>
      </c>
      <c r="D136" t="s">
        <v>473</v>
      </c>
      <c r="E136" t="e">
        <v>#N/A</v>
      </c>
      <c r="F136" t="s">
        <v>11</v>
      </c>
      <c r="G136" s="2">
        <v>0</v>
      </c>
      <c r="H136" t="s">
        <v>29</v>
      </c>
      <c r="I136" t="s">
        <v>476</v>
      </c>
      <c r="J136" s="2">
        <v>-126.79</v>
      </c>
      <c r="K136" s="6" t="str">
        <f>I136&amp;J136</f>
        <v>8.0202431154800340X00.SI424325X94522-126.79</v>
      </c>
      <c r="L136" s="4" t="str">
        <f>IF(COUNTIF(D:D,D136)&gt;1,"D","N")</f>
        <v>D</v>
      </c>
      <c r="M136" s="4">
        <f>COUNTIFS(D:D,D136,F:F,"UPDATED")</f>
        <v>0</v>
      </c>
      <c r="N136" s="4">
        <f>COUNTIFS(D:D,D136,F:F,"NOT UPDATED")</f>
        <v>4</v>
      </c>
      <c r="O136" s="4">
        <f>COUNTIF(D:D,D136)</f>
        <v>4</v>
      </c>
    </row>
    <row r="137" spans="1:15" hidden="1" x14ac:dyDescent="0.25">
      <c r="A137">
        <v>136</v>
      </c>
      <c r="B137" t="s">
        <v>341</v>
      </c>
      <c r="C137" s="1">
        <v>45785</v>
      </c>
      <c r="D137" t="s">
        <v>473</v>
      </c>
      <c r="E137" t="e">
        <v>#N/A</v>
      </c>
      <c r="F137" t="s">
        <v>11</v>
      </c>
      <c r="G137" s="2">
        <v>0</v>
      </c>
      <c r="H137" t="s">
        <v>29</v>
      </c>
      <c r="I137" t="s">
        <v>477</v>
      </c>
      <c r="J137" s="2">
        <v>-57.09</v>
      </c>
      <c r="K137" s="6" t="str">
        <f>I137&amp;J137</f>
        <v>8.020242895018C620X00.SI416536X14078-57.09</v>
      </c>
      <c r="L137" s="4" t="str">
        <f>IF(COUNTIF(D:D,D137)&gt;1,"D","N")</f>
        <v>D</v>
      </c>
      <c r="M137" s="4">
        <f>COUNTIFS(D:D,D137,F:F,"UPDATED")</f>
        <v>0</v>
      </c>
      <c r="N137" s="4">
        <f>COUNTIFS(D:D,D137,F:F,"NOT UPDATED")</f>
        <v>4</v>
      </c>
      <c r="O137" s="4">
        <f>COUNTIF(D:D,D137)</f>
        <v>4</v>
      </c>
    </row>
    <row r="138" spans="1:15" hidden="1" x14ac:dyDescent="0.25">
      <c r="A138">
        <v>137</v>
      </c>
      <c r="B138" t="s">
        <v>341</v>
      </c>
      <c r="C138" s="1">
        <v>45785</v>
      </c>
      <c r="D138" t="s">
        <v>478</v>
      </c>
      <c r="E138" t="e">
        <v>#N/A</v>
      </c>
      <c r="F138" t="s">
        <v>11</v>
      </c>
      <c r="G138" s="2">
        <v>0</v>
      </c>
      <c r="H138" t="s">
        <v>194</v>
      </c>
      <c r="I138" t="s">
        <v>479</v>
      </c>
      <c r="J138" s="2">
        <v>-0.31</v>
      </c>
      <c r="K138" s="6" t="str">
        <f>I138&amp;J138</f>
        <v>0202428150438Z20X00.SI409999X31018-0.31</v>
      </c>
      <c r="L138" s="4" t="str">
        <f>IF(COUNTIF(D:D,D138)&gt;1,"D","N")</f>
        <v>D</v>
      </c>
      <c r="M138" s="4">
        <f>COUNTIFS(D:D,D138,F:F,"UPDATED")</f>
        <v>0</v>
      </c>
      <c r="N138" s="4">
        <f>COUNTIFS(D:D,D138,F:F,"NOT UPDATED")</f>
        <v>8</v>
      </c>
      <c r="O138" s="4">
        <f>COUNTIF(D:D,D138)</f>
        <v>8</v>
      </c>
    </row>
    <row r="139" spans="1:15" hidden="1" x14ac:dyDescent="0.25">
      <c r="A139">
        <v>138</v>
      </c>
      <c r="B139" t="s">
        <v>341</v>
      </c>
      <c r="C139" s="1">
        <v>45785</v>
      </c>
      <c r="D139" t="s">
        <v>478</v>
      </c>
      <c r="E139" t="e">
        <v>#N/A</v>
      </c>
      <c r="F139" t="s">
        <v>11</v>
      </c>
      <c r="G139" s="2">
        <v>0</v>
      </c>
      <c r="H139" t="s">
        <v>194</v>
      </c>
      <c r="I139" t="s">
        <v>480</v>
      </c>
      <c r="J139" s="2">
        <v>-31.04</v>
      </c>
      <c r="K139" s="6" t="str">
        <f>I139&amp;J139</f>
        <v>0202426150725X40X01.SI396563X18762-31.04</v>
      </c>
      <c r="L139" s="4" t="str">
        <f>IF(COUNTIF(D:D,D139)&gt;1,"D","N")</f>
        <v>D</v>
      </c>
      <c r="M139" s="4">
        <f>COUNTIFS(D:D,D139,F:F,"UPDATED")</f>
        <v>0</v>
      </c>
      <c r="N139" s="4">
        <f>COUNTIFS(D:D,D139,F:F,"NOT UPDATED")</f>
        <v>8</v>
      </c>
      <c r="O139" s="4">
        <f>COUNTIF(D:D,D139)</f>
        <v>8</v>
      </c>
    </row>
    <row r="140" spans="1:15" hidden="1" x14ac:dyDescent="0.25">
      <c r="A140">
        <v>139</v>
      </c>
      <c r="B140" t="s">
        <v>341</v>
      </c>
      <c r="C140" s="1">
        <v>45785</v>
      </c>
      <c r="D140" t="s">
        <v>478</v>
      </c>
      <c r="E140" t="e">
        <v>#N/A</v>
      </c>
      <c r="F140" t="s">
        <v>11</v>
      </c>
      <c r="G140" s="2">
        <v>0</v>
      </c>
      <c r="H140" t="s">
        <v>194</v>
      </c>
      <c r="I140" t="s">
        <v>481</v>
      </c>
      <c r="J140" s="2">
        <v>-1.83</v>
      </c>
      <c r="K140" s="6" t="str">
        <f>I140&amp;J140</f>
        <v>0202427050V17930X00.SI399175X24876-1.83</v>
      </c>
      <c r="L140" s="4" t="str">
        <f>IF(COUNTIF(D:D,D140)&gt;1,"D","N")</f>
        <v>D</v>
      </c>
      <c r="M140" s="4">
        <f>COUNTIFS(D:D,D140,F:F,"UPDATED")</f>
        <v>0</v>
      </c>
      <c r="N140" s="4">
        <f>COUNTIFS(D:D,D140,F:F,"NOT UPDATED")</f>
        <v>8</v>
      </c>
      <c r="O140" s="4">
        <f>COUNTIF(D:D,D140)</f>
        <v>8</v>
      </c>
    </row>
    <row r="141" spans="1:15" hidden="1" x14ac:dyDescent="0.25">
      <c r="A141">
        <v>140</v>
      </c>
      <c r="B141" t="s">
        <v>341</v>
      </c>
      <c r="C141" s="1">
        <v>45785</v>
      </c>
      <c r="D141" t="s">
        <v>478</v>
      </c>
      <c r="E141" t="e">
        <v>#N/A</v>
      </c>
      <c r="F141" t="s">
        <v>11</v>
      </c>
      <c r="G141" s="2">
        <v>0</v>
      </c>
      <c r="H141" t="s">
        <v>194</v>
      </c>
      <c r="I141" t="s">
        <v>482</v>
      </c>
      <c r="J141" s="2">
        <v>-1.83</v>
      </c>
      <c r="K141" s="6" t="str">
        <f>I141&amp;J141</f>
        <v>0202427150056Y60X00.SI404500X73419-1.83</v>
      </c>
      <c r="L141" s="4" t="str">
        <f>IF(COUNTIF(D:D,D141)&gt;1,"D","N")</f>
        <v>D</v>
      </c>
      <c r="M141" s="4">
        <f>COUNTIFS(D:D,D141,F:F,"UPDATED")</f>
        <v>0</v>
      </c>
      <c r="N141" s="4">
        <f>COUNTIFS(D:D,D141,F:F,"NOT UPDATED")</f>
        <v>8</v>
      </c>
      <c r="O141" s="4">
        <f>COUNTIF(D:D,D141)</f>
        <v>8</v>
      </c>
    </row>
    <row r="142" spans="1:15" hidden="1" x14ac:dyDescent="0.25">
      <c r="A142">
        <v>141</v>
      </c>
      <c r="B142" t="s">
        <v>341</v>
      </c>
      <c r="C142" s="1">
        <v>45785</v>
      </c>
      <c r="D142" t="s">
        <v>478</v>
      </c>
      <c r="E142" t="e">
        <v>#N/A</v>
      </c>
      <c r="F142" t="s">
        <v>11</v>
      </c>
      <c r="G142" s="2">
        <v>0</v>
      </c>
      <c r="H142" t="s">
        <v>29</v>
      </c>
      <c r="I142" t="s">
        <v>483</v>
      </c>
      <c r="J142" s="2">
        <v>-191.37</v>
      </c>
      <c r="K142" s="6" t="str">
        <f>I142&amp;J142</f>
        <v>8.0202428150438Z20X00.SI409999X31018-191.37</v>
      </c>
      <c r="L142" s="4" t="str">
        <f>IF(COUNTIF(D:D,D142)&gt;1,"D","N")</f>
        <v>D</v>
      </c>
      <c r="M142" s="4">
        <f>COUNTIFS(D:D,D142,F:F,"UPDATED")</f>
        <v>0</v>
      </c>
      <c r="N142" s="4">
        <f>COUNTIFS(D:D,D142,F:F,"NOT UPDATED")</f>
        <v>8</v>
      </c>
      <c r="O142" s="4">
        <f>COUNTIF(D:D,D142)</f>
        <v>8</v>
      </c>
    </row>
    <row r="143" spans="1:15" hidden="1" x14ac:dyDescent="0.25">
      <c r="A143">
        <v>142</v>
      </c>
      <c r="B143" t="s">
        <v>341</v>
      </c>
      <c r="C143" s="1">
        <v>45785</v>
      </c>
      <c r="D143" t="s">
        <v>478</v>
      </c>
      <c r="E143" t="e">
        <v>#N/A</v>
      </c>
      <c r="F143" t="s">
        <v>11</v>
      </c>
      <c r="G143" s="2">
        <v>0</v>
      </c>
      <c r="H143" t="s">
        <v>29</v>
      </c>
      <c r="I143" t="s">
        <v>484</v>
      </c>
      <c r="J143" s="2">
        <v>-179.33</v>
      </c>
      <c r="K143" s="6" t="str">
        <f>I143&amp;J143</f>
        <v>8.0202426150725X40X01.SI396563X18762-179.33</v>
      </c>
      <c r="L143" s="4" t="str">
        <f>IF(COUNTIF(D:D,D143)&gt;1,"D","N")</f>
        <v>D</v>
      </c>
      <c r="M143" s="4">
        <f>COUNTIFS(D:D,D143,F:F,"UPDATED")</f>
        <v>0</v>
      </c>
      <c r="N143" s="4">
        <f>COUNTIFS(D:D,D143,F:F,"NOT UPDATED")</f>
        <v>8</v>
      </c>
      <c r="O143" s="4">
        <f>COUNTIF(D:D,D143)</f>
        <v>8</v>
      </c>
    </row>
    <row r="144" spans="1:15" hidden="1" x14ac:dyDescent="0.25">
      <c r="A144">
        <v>143</v>
      </c>
      <c r="B144" t="s">
        <v>341</v>
      </c>
      <c r="C144" s="1">
        <v>45785</v>
      </c>
      <c r="D144" t="s">
        <v>478</v>
      </c>
      <c r="E144" t="e">
        <v>#N/A</v>
      </c>
      <c r="F144" t="s">
        <v>11</v>
      </c>
      <c r="G144" s="2">
        <v>0</v>
      </c>
      <c r="H144" t="s">
        <v>29</v>
      </c>
      <c r="I144" t="s">
        <v>485</v>
      </c>
      <c r="J144" s="2">
        <v>-7</v>
      </c>
      <c r="K144" s="6" t="str">
        <f>I144&amp;J144</f>
        <v>8.0202427050V17930X00.SI399175X24876-7</v>
      </c>
      <c r="L144" s="4" t="str">
        <f>IF(COUNTIF(D:D,D144)&gt;1,"D","N")</f>
        <v>D</v>
      </c>
      <c r="M144" s="4">
        <f>COUNTIFS(D:D,D144,F:F,"UPDATED")</f>
        <v>0</v>
      </c>
      <c r="N144" s="4">
        <f>COUNTIFS(D:D,D144,F:F,"NOT UPDATED")</f>
        <v>8</v>
      </c>
      <c r="O144" s="4">
        <f>COUNTIF(D:D,D144)</f>
        <v>8</v>
      </c>
    </row>
    <row r="145" spans="1:15" hidden="1" x14ac:dyDescent="0.25">
      <c r="A145">
        <v>144</v>
      </c>
      <c r="B145" t="s">
        <v>341</v>
      </c>
      <c r="C145" s="1">
        <v>45785</v>
      </c>
      <c r="D145" t="s">
        <v>478</v>
      </c>
      <c r="E145" t="e">
        <v>#N/A</v>
      </c>
      <c r="F145" t="s">
        <v>11</v>
      </c>
      <c r="G145" s="2">
        <v>0</v>
      </c>
      <c r="H145" t="s">
        <v>29</v>
      </c>
      <c r="I145" t="s">
        <v>486</v>
      </c>
      <c r="J145" s="2">
        <v>-7</v>
      </c>
      <c r="K145" s="6" t="str">
        <f>I145&amp;J145</f>
        <v>8.0202427150056Y60X00.SI404500X73419-7</v>
      </c>
      <c r="L145" s="4" t="str">
        <f>IF(COUNTIF(D:D,D145)&gt;1,"D","N")</f>
        <v>D</v>
      </c>
      <c r="M145" s="4">
        <f>COUNTIFS(D:D,D145,F:F,"UPDATED")</f>
        <v>0</v>
      </c>
      <c r="N145" s="4">
        <f>COUNTIFS(D:D,D145,F:F,"NOT UPDATED")</f>
        <v>8</v>
      </c>
      <c r="O145" s="4">
        <f>COUNTIF(D:D,D145)</f>
        <v>8</v>
      </c>
    </row>
    <row r="146" spans="1:15" hidden="1" x14ac:dyDescent="0.25">
      <c r="A146">
        <v>145</v>
      </c>
      <c r="B146" t="s">
        <v>71</v>
      </c>
      <c r="C146" s="1">
        <v>45785</v>
      </c>
      <c r="D146">
        <v>158549211250509</v>
      </c>
      <c r="E146" t="e">
        <v>#N/A</v>
      </c>
      <c r="F146" t="s">
        <v>11</v>
      </c>
      <c r="G146" s="2">
        <v>1659</v>
      </c>
      <c r="H146" t="s">
        <v>15</v>
      </c>
      <c r="I146" t="s">
        <v>487</v>
      </c>
      <c r="J146" s="2">
        <v>17.53</v>
      </c>
      <c r="K146" s="6" t="str">
        <f>I146&amp;J146</f>
        <v>PSI498280X77409/82025064015316517.53</v>
      </c>
      <c r="L146" s="4" t="str">
        <f>IF(COUNTIF(D:D,D146)&gt;1,"D","N")</f>
        <v>D</v>
      </c>
      <c r="M146" s="4">
        <f>COUNTIFS(D:D,D146,F:F,"UPDATED")</f>
        <v>0</v>
      </c>
      <c r="N146" s="4">
        <f>COUNTIFS(D:D,D146,F:F,"NOT UPDATED")</f>
        <v>2</v>
      </c>
      <c r="O146" s="4">
        <f>COUNTIF(D:D,D146)</f>
        <v>2</v>
      </c>
    </row>
    <row r="147" spans="1:15" hidden="1" x14ac:dyDescent="0.25">
      <c r="A147">
        <v>146</v>
      </c>
      <c r="B147" t="s">
        <v>71</v>
      </c>
      <c r="C147" s="1">
        <v>45785</v>
      </c>
      <c r="D147">
        <v>158549211250509</v>
      </c>
      <c r="E147" t="e">
        <v>#N/A</v>
      </c>
      <c r="F147" t="s">
        <v>11</v>
      </c>
      <c r="G147" s="2">
        <v>1659</v>
      </c>
      <c r="H147" t="s">
        <v>15</v>
      </c>
      <c r="I147" t="s">
        <v>488</v>
      </c>
      <c r="J147" s="2">
        <v>29.91</v>
      </c>
      <c r="K147" s="6" t="str">
        <f>I147&amp;J147</f>
        <v>PSI482318X24239/82025042019695029.91</v>
      </c>
      <c r="L147" s="4" t="str">
        <f>IF(COUNTIF(D:D,D147)&gt;1,"D","N")</f>
        <v>D</v>
      </c>
      <c r="M147" s="4">
        <f>COUNTIFS(D:D,D147,F:F,"UPDATED")</f>
        <v>0</v>
      </c>
      <c r="N147" s="4">
        <f>COUNTIFS(D:D,D147,F:F,"NOT UPDATED")</f>
        <v>2</v>
      </c>
      <c r="O147" s="4">
        <f>COUNTIF(D:D,D147)</f>
        <v>2</v>
      </c>
    </row>
    <row r="148" spans="1:15" hidden="1" x14ac:dyDescent="0.25">
      <c r="A148">
        <v>147</v>
      </c>
      <c r="B148" t="s">
        <v>71</v>
      </c>
      <c r="C148" s="1">
        <v>45785</v>
      </c>
      <c r="D148" t="s">
        <v>489</v>
      </c>
      <c r="E148" t="e">
        <v>#N/A</v>
      </c>
      <c r="F148" t="s">
        <v>11</v>
      </c>
      <c r="G148" s="2">
        <v>0</v>
      </c>
      <c r="H148" t="s">
        <v>15</v>
      </c>
      <c r="I148" t="s">
        <v>490</v>
      </c>
      <c r="J148" s="2">
        <v>81.39</v>
      </c>
      <c r="K148" s="6" t="str">
        <f>I148&amp;J148</f>
        <v>PSI481804X101823/82025037067554381.39</v>
      </c>
      <c r="L148" s="4" t="str">
        <f>IF(COUNTIF(D:D,D148)&gt;1,"D","N")</f>
        <v>D</v>
      </c>
      <c r="M148" s="4">
        <f>COUNTIFS(D:D,D148,F:F,"UPDATED")</f>
        <v>0</v>
      </c>
      <c r="N148" s="4">
        <f>COUNTIFS(D:D,D148,F:F,"NOT UPDATED")</f>
        <v>3</v>
      </c>
      <c r="O148" s="4">
        <f>COUNTIF(D:D,D148)</f>
        <v>3</v>
      </c>
    </row>
    <row r="149" spans="1:15" hidden="1" x14ac:dyDescent="0.25">
      <c r="A149">
        <v>148</v>
      </c>
      <c r="B149" t="s">
        <v>71</v>
      </c>
      <c r="C149" s="1">
        <v>45785</v>
      </c>
      <c r="D149" t="s">
        <v>489</v>
      </c>
      <c r="E149" t="e">
        <v>#N/A</v>
      </c>
      <c r="F149" t="s">
        <v>11</v>
      </c>
      <c r="G149" s="2">
        <v>0</v>
      </c>
      <c r="H149" t="s">
        <v>15</v>
      </c>
      <c r="I149" t="s">
        <v>491</v>
      </c>
      <c r="J149" s="2">
        <v>57.68</v>
      </c>
      <c r="K149" s="6" t="str">
        <f>I149&amp;J149</f>
        <v>PSI473635X10119/82025024166978157.68</v>
      </c>
      <c r="L149" s="4" t="str">
        <f>IF(COUNTIF(D:D,D149)&gt;1,"D","N")</f>
        <v>D</v>
      </c>
      <c r="M149" s="4">
        <f>COUNTIFS(D:D,D149,F:F,"UPDATED")</f>
        <v>0</v>
      </c>
      <c r="N149" s="4">
        <f>COUNTIFS(D:D,D149,F:F,"NOT UPDATED")</f>
        <v>3</v>
      </c>
      <c r="O149" s="4">
        <f>COUNTIF(D:D,D149)</f>
        <v>3</v>
      </c>
    </row>
    <row r="150" spans="1:15" hidden="1" x14ac:dyDescent="0.25">
      <c r="A150">
        <v>149</v>
      </c>
      <c r="B150" t="s">
        <v>71</v>
      </c>
      <c r="C150" s="1">
        <v>45785</v>
      </c>
      <c r="D150" t="s">
        <v>489</v>
      </c>
      <c r="E150" t="e">
        <v>#N/A</v>
      </c>
      <c r="F150" t="s">
        <v>11</v>
      </c>
      <c r="G150" s="2">
        <v>0</v>
      </c>
      <c r="H150" t="s">
        <v>15</v>
      </c>
      <c r="I150" t="s">
        <v>488</v>
      </c>
      <c r="J150" s="2">
        <v>4.57</v>
      </c>
      <c r="K150" s="6" t="str">
        <f>I150&amp;J150</f>
        <v>PSI482318X24239/8202504201969504.57</v>
      </c>
      <c r="L150" s="4" t="str">
        <f>IF(COUNTIF(D:D,D150)&gt;1,"D","N")</f>
        <v>D</v>
      </c>
      <c r="M150" s="4">
        <f>COUNTIFS(D:D,D150,F:F,"UPDATED")</f>
        <v>0</v>
      </c>
      <c r="N150" s="4">
        <f>COUNTIFS(D:D,D150,F:F,"NOT UPDATED")</f>
        <v>3</v>
      </c>
      <c r="O150" s="4">
        <f>COUNTIF(D:D,D150)</f>
        <v>3</v>
      </c>
    </row>
    <row r="151" spans="1:15" hidden="1" x14ac:dyDescent="0.25">
      <c r="A151">
        <v>150</v>
      </c>
      <c r="B151" t="s">
        <v>345</v>
      </c>
      <c r="C151" s="1">
        <v>45786</v>
      </c>
      <c r="D151">
        <v>925129000037556</v>
      </c>
      <c r="E151" t="e">
        <v>#N/A</v>
      </c>
      <c r="F151" t="s">
        <v>11</v>
      </c>
      <c r="G151" s="2">
        <v>0</v>
      </c>
      <c r="H151" t="s">
        <v>12</v>
      </c>
      <c r="I151" s="3">
        <v>925129000000000</v>
      </c>
      <c r="J151" s="2">
        <v>-118.08</v>
      </c>
      <c r="K151" s="6" t="str">
        <f>I151&amp;J151</f>
        <v>925129000000000-118.08</v>
      </c>
      <c r="L151" s="4" t="str">
        <f>IF(COUNTIF(D:D,D151)&gt;1,"D","N")</f>
        <v>N</v>
      </c>
      <c r="M151" s="4">
        <f>COUNTIFS(D:D,D151,F:F,"UPDATED")</f>
        <v>0</v>
      </c>
      <c r="N151" s="4">
        <f>COUNTIFS(D:D,D151,F:F,"NOT UPDATED")</f>
        <v>1</v>
      </c>
      <c r="O151" s="4">
        <f>COUNTIF(D:D,D151)</f>
        <v>1</v>
      </c>
    </row>
    <row r="152" spans="1:15" hidden="1" x14ac:dyDescent="0.25">
      <c r="A152">
        <v>151</v>
      </c>
      <c r="B152" t="s">
        <v>341</v>
      </c>
      <c r="C152" s="1">
        <v>45786</v>
      </c>
      <c r="D152" t="s">
        <v>492</v>
      </c>
      <c r="E152" t="e">
        <v>#N/A</v>
      </c>
      <c r="F152" t="s">
        <v>11</v>
      </c>
      <c r="G152" s="2">
        <v>11219.21</v>
      </c>
      <c r="H152" t="s">
        <v>194</v>
      </c>
      <c r="I152" t="s">
        <v>493</v>
      </c>
      <c r="J152" s="2">
        <v>-0.5</v>
      </c>
      <c r="K152" s="6" t="str">
        <f>I152&amp;J152</f>
        <v>0202430650Y77230X00.SI426947X66322-0.5</v>
      </c>
      <c r="L152" s="4" t="str">
        <f>IF(COUNTIF(D:D,D152)&gt;1,"D","N")</f>
        <v>N</v>
      </c>
      <c r="M152" s="4">
        <f>COUNTIFS(D:D,D152,F:F,"UPDATED")</f>
        <v>0</v>
      </c>
      <c r="N152" s="4">
        <f>COUNTIFS(D:D,D152,F:F,"NOT UPDATED")</f>
        <v>1</v>
      </c>
      <c r="O152" s="4">
        <f>COUNTIF(D:D,D152)</f>
        <v>1</v>
      </c>
    </row>
    <row r="153" spans="1:15" hidden="1" x14ac:dyDescent="0.25">
      <c r="A153">
        <v>152</v>
      </c>
      <c r="B153" t="s">
        <v>341</v>
      </c>
      <c r="C153" s="1">
        <v>45786</v>
      </c>
      <c r="D153" t="s">
        <v>494</v>
      </c>
      <c r="E153" t="e">
        <v>#N/A</v>
      </c>
      <c r="F153" t="s">
        <v>11</v>
      </c>
      <c r="G153" s="2">
        <v>0</v>
      </c>
      <c r="H153" t="s">
        <v>29</v>
      </c>
      <c r="I153" t="s">
        <v>495</v>
      </c>
      <c r="J153" s="2">
        <v>-40.15</v>
      </c>
      <c r="K153" s="6" t="str">
        <f>I153&amp;J153</f>
        <v>8.020242955043A080X00.SI419871X43642-40.15</v>
      </c>
      <c r="L153" s="4" t="str">
        <f>IF(COUNTIF(D:D,D153)&gt;1,"D","N")</f>
        <v>N</v>
      </c>
      <c r="M153" s="4">
        <f>COUNTIFS(D:D,D153,F:F,"UPDATED")</f>
        <v>0</v>
      </c>
      <c r="N153" s="4">
        <f>COUNTIFS(D:D,D153,F:F,"NOT UPDATED")</f>
        <v>1</v>
      </c>
      <c r="O153" s="4">
        <f>COUNTIF(D:D,D153)</f>
        <v>1</v>
      </c>
    </row>
    <row r="154" spans="1:15" hidden="1" x14ac:dyDescent="0.25">
      <c r="A154">
        <v>153</v>
      </c>
      <c r="B154" t="s">
        <v>78</v>
      </c>
      <c r="C154" s="1">
        <v>45786</v>
      </c>
      <c r="D154" t="s">
        <v>496</v>
      </c>
      <c r="E154" t="e">
        <v>#N/A</v>
      </c>
      <c r="F154" t="s">
        <v>11</v>
      </c>
      <c r="G154" s="2">
        <v>0</v>
      </c>
      <c r="H154" t="s">
        <v>15</v>
      </c>
      <c r="I154" t="s">
        <v>373</v>
      </c>
      <c r="J154" s="2">
        <v>475.9</v>
      </c>
      <c r="K154" s="6" t="str">
        <f>I154&amp;J154</f>
        <v>SI416394X89722 242900AEVX01475.9</v>
      </c>
      <c r="L154" s="4" t="str">
        <f>IF(COUNTIF(D:D,D154)&gt;1,"D","N")</f>
        <v>N</v>
      </c>
      <c r="M154" s="4">
        <f>COUNTIFS(D:D,D154,F:F,"UPDATED")</f>
        <v>0</v>
      </c>
      <c r="N154" s="4">
        <f>COUNTIFS(D:D,D154,F:F,"NOT UPDATED")</f>
        <v>1</v>
      </c>
      <c r="O154" s="4">
        <f>COUNTIF(D:D,D154)</f>
        <v>1</v>
      </c>
    </row>
    <row r="155" spans="1:15" hidden="1" x14ac:dyDescent="0.25">
      <c r="A155">
        <v>154</v>
      </c>
      <c r="B155" t="s">
        <v>10</v>
      </c>
      <c r="C155" s="1">
        <v>45786</v>
      </c>
      <c r="D155">
        <v>499222153</v>
      </c>
      <c r="E155" t="e">
        <v>#N/A</v>
      </c>
      <c r="F155" t="s">
        <v>11</v>
      </c>
      <c r="G155" s="2">
        <v>0</v>
      </c>
      <c r="H155" t="s">
        <v>497</v>
      </c>
      <c r="I155" t="s">
        <v>498</v>
      </c>
      <c r="J155" s="2">
        <v>140.28</v>
      </c>
      <c r="K155" s="6" t="str">
        <f>I155&amp;J155</f>
        <v>SI449844X95484140.28</v>
      </c>
      <c r="L155" s="4" t="str">
        <f>IF(COUNTIF(D:D,D155)&gt;1,"D","N")</f>
        <v>N</v>
      </c>
      <c r="M155" s="4">
        <f>COUNTIFS(D:D,D155,F:F,"UPDATED")</f>
        <v>0</v>
      </c>
      <c r="N155" s="4">
        <f>COUNTIFS(D:D,D155,F:F,"NOT UPDATED")</f>
        <v>1</v>
      </c>
      <c r="O155" s="4">
        <f>COUNTIF(D:D,D155)</f>
        <v>1</v>
      </c>
    </row>
    <row r="156" spans="1:15" hidden="1" x14ac:dyDescent="0.25">
      <c r="A156">
        <v>155</v>
      </c>
      <c r="B156" t="s">
        <v>345</v>
      </c>
      <c r="C156" s="1">
        <v>45787</v>
      </c>
      <c r="D156">
        <v>925130000008486</v>
      </c>
      <c r="E156" t="e">
        <v>#N/A</v>
      </c>
      <c r="F156" t="s">
        <v>11</v>
      </c>
      <c r="G156" s="2">
        <v>0</v>
      </c>
      <c r="H156" t="s">
        <v>12</v>
      </c>
      <c r="I156" s="3">
        <v>925129000000000</v>
      </c>
      <c r="J156" s="2">
        <v>118.08</v>
      </c>
      <c r="K156" s="6" t="str">
        <f>I156&amp;J156</f>
        <v>925129000000000118.08</v>
      </c>
      <c r="L156" s="4" t="str">
        <f>IF(COUNTIF(D:D,D156)&gt;1,"D","N")</f>
        <v>D</v>
      </c>
      <c r="M156" s="4">
        <f>COUNTIFS(D:D,D156,F:F,"UPDATED")</f>
        <v>0</v>
      </c>
      <c r="N156" s="4">
        <f>COUNTIFS(D:D,D156,F:F,"NOT UPDATED")</f>
        <v>2</v>
      </c>
      <c r="O156" s="4">
        <f>COUNTIF(D:D,D156)</f>
        <v>2</v>
      </c>
    </row>
    <row r="157" spans="1:15" hidden="1" x14ac:dyDescent="0.25">
      <c r="A157">
        <v>156</v>
      </c>
      <c r="B157" t="s">
        <v>345</v>
      </c>
      <c r="C157" s="1">
        <v>45787</v>
      </c>
      <c r="D157">
        <v>925130000008486</v>
      </c>
      <c r="E157" t="e">
        <v>#N/A</v>
      </c>
      <c r="F157" t="s">
        <v>11</v>
      </c>
      <c r="G157" s="2">
        <v>0</v>
      </c>
      <c r="H157" t="s">
        <v>12</v>
      </c>
      <c r="I157" s="3">
        <v>925130000000000</v>
      </c>
      <c r="J157" s="2">
        <v>-118.08</v>
      </c>
      <c r="K157" s="6" t="str">
        <f>I157&amp;J157</f>
        <v>925130000000000-118.08</v>
      </c>
      <c r="L157" s="4" t="str">
        <f>IF(COUNTIF(D:D,D157)&gt;1,"D","N")</f>
        <v>D</v>
      </c>
      <c r="M157" s="4">
        <f>COUNTIFS(D:D,D157,F:F,"UPDATED")</f>
        <v>0</v>
      </c>
      <c r="N157" s="4">
        <f>COUNTIFS(D:D,D157,F:F,"NOT UPDATED")</f>
        <v>2</v>
      </c>
      <c r="O157" s="4">
        <f>COUNTIF(D:D,D157)</f>
        <v>2</v>
      </c>
    </row>
    <row r="158" spans="1:15" x14ac:dyDescent="0.25">
      <c r="A158">
        <v>301</v>
      </c>
      <c r="B158" t="s">
        <v>341</v>
      </c>
      <c r="C158" s="1">
        <v>45807</v>
      </c>
      <c r="D158" t="s">
        <v>663</v>
      </c>
      <c r="E158" t="e">
        <v>#N/A</v>
      </c>
      <c r="F158" t="s">
        <v>11</v>
      </c>
      <c r="G158" t="s">
        <v>664</v>
      </c>
      <c r="H158" t="s">
        <v>29</v>
      </c>
      <c r="I158" t="s">
        <v>665</v>
      </c>
      <c r="J158" s="2">
        <v>-142.33000000000001</v>
      </c>
      <c r="K158" s="6" t="str">
        <f>I158&amp;J158</f>
        <v>0202507150728F40X00.SI501621X49271-142.33</v>
      </c>
      <c r="L158" s="4" t="str">
        <f>IF(COUNTIF(D:D,D158)&gt;1,"D","N")</f>
        <v>N</v>
      </c>
      <c r="M158" s="4">
        <f>COUNTIFS(D:D,D158,F:F,"UPDATED")</f>
        <v>0</v>
      </c>
      <c r="N158" s="4">
        <f>COUNTIFS(D:D,D158,F:F,"NOT UPDATED")</f>
        <v>1</v>
      </c>
      <c r="O158" s="4">
        <f>COUNTIF(D:D,D158)</f>
        <v>1</v>
      </c>
    </row>
    <row r="159" spans="1:15" hidden="1" x14ac:dyDescent="0.25">
      <c r="A159">
        <v>158</v>
      </c>
      <c r="B159" t="s">
        <v>341</v>
      </c>
      <c r="C159" s="1">
        <v>45789</v>
      </c>
      <c r="D159" t="s">
        <v>499</v>
      </c>
      <c r="E159" t="e">
        <v>#N/A</v>
      </c>
      <c r="F159" t="s">
        <v>11</v>
      </c>
      <c r="G159" t="s">
        <v>500</v>
      </c>
      <c r="H159" t="s">
        <v>15</v>
      </c>
      <c r="I159" t="s">
        <v>501</v>
      </c>
      <c r="J159" s="2">
        <v>132.6</v>
      </c>
      <c r="K159" s="6" t="str">
        <f>I159&amp;J159</f>
        <v>02025007503B8110X01.SI463196X79728132.6</v>
      </c>
      <c r="L159" s="4" t="str">
        <f>IF(COUNTIF(D:D,D159)&gt;1,"D","N")</f>
        <v>D</v>
      </c>
      <c r="M159" s="4">
        <f>COUNTIFS(D:D,D159,F:F,"UPDATED")</f>
        <v>0</v>
      </c>
      <c r="N159" s="4">
        <f>COUNTIFS(D:D,D159,F:F,"NOT UPDATED")</f>
        <v>4</v>
      </c>
      <c r="O159" s="4">
        <f>COUNTIF(D:D,D159)</f>
        <v>4</v>
      </c>
    </row>
    <row r="160" spans="1:15" x14ac:dyDescent="0.25">
      <c r="A160">
        <v>347</v>
      </c>
      <c r="B160" t="s">
        <v>94</v>
      </c>
      <c r="C160" s="1">
        <v>45807</v>
      </c>
      <c r="D160" t="s">
        <v>733</v>
      </c>
      <c r="E160" t="e">
        <v>#N/A</v>
      </c>
      <c r="F160" t="s">
        <v>11</v>
      </c>
      <c r="G160" s="2">
        <v>29290.62</v>
      </c>
      <c r="H160" t="s">
        <v>29</v>
      </c>
      <c r="I160" t="s">
        <v>665</v>
      </c>
      <c r="J160" s="2">
        <v>-142.33000000000001</v>
      </c>
      <c r="K160" s="6" t="str">
        <f>I160&amp;J160</f>
        <v>0202507150728F40X00.SI501621X49271-142.33</v>
      </c>
      <c r="L160" s="4" t="str">
        <f>IF(COUNTIF(D:D,D160)&gt;1,"D","N")</f>
        <v>N</v>
      </c>
      <c r="M160" s="4">
        <f>COUNTIFS(D:D,D160,F:F,"UPDATED")</f>
        <v>0</v>
      </c>
      <c r="N160" s="4">
        <f>COUNTIFS(D:D,D160,F:F,"NOT UPDATED")</f>
        <v>1</v>
      </c>
      <c r="O160" s="4">
        <f>COUNTIF(D:D,D160)</f>
        <v>1</v>
      </c>
    </row>
    <row r="161" spans="1:15" hidden="1" x14ac:dyDescent="0.25">
      <c r="A161">
        <v>160</v>
      </c>
      <c r="B161" t="s">
        <v>341</v>
      </c>
      <c r="C161" s="1">
        <v>45789</v>
      </c>
      <c r="D161" t="s">
        <v>499</v>
      </c>
      <c r="E161" t="e">
        <v>#N/A</v>
      </c>
      <c r="F161" t="s">
        <v>11</v>
      </c>
      <c r="G161" t="s">
        <v>500</v>
      </c>
      <c r="H161" t="s">
        <v>194</v>
      </c>
      <c r="I161" t="s">
        <v>502</v>
      </c>
      <c r="J161" s="2">
        <v>-21.93</v>
      </c>
      <c r="K161" s="6" t="str">
        <f>I161&amp;J161</f>
        <v>020242755007Z660X01.SI396338X53327-21.93</v>
      </c>
      <c r="L161" s="4" t="str">
        <f>IF(COUNTIF(D:D,D161)&gt;1,"D","N")</f>
        <v>D</v>
      </c>
      <c r="M161" s="4">
        <f>COUNTIFS(D:D,D161,F:F,"UPDATED")</f>
        <v>0</v>
      </c>
      <c r="N161" s="4">
        <f>COUNTIFS(D:D,D161,F:F,"NOT UPDATED")</f>
        <v>4</v>
      </c>
      <c r="O161" s="4">
        <f>COUNTIF(D:D,D161)</f>
        <v>4</v>
      </c>
    </row>
    <row r="162" spans="1:15" hidden="1" x14ac:dyDescent="0.25">
      <c r="A162">
        <v>161</v>
      </c>
      <c r="B162" t="s">
        <v>78</v>
      </c>
      <c r="C162" s="1">
        <v>45789</v>
      </c>
      <c r="D162" t="s">
        <v>503</v>
      </c>
      <c r="E162" t="e">
        <v>#N/A</v>
      </c>
      <c r="F162" t="s">
        <v>11</v>
      </c>
      <c r="G162" s="2">
        <v>0</v>
      </c>
      <c r="H162" t="s">
        <v>15</v>
      </c>
      <c r="I162" t="s">
        <v>373</v>
      </c>
      <c r="J162" s="2">
        <v>181.91</v>
      </c>
      <c r="K162" s="6" t="str">
        <f>I162&amp;J162</f>
        <v>SI416394X89722 242900AEVX01181.91</v>
      </c>
      <c r="L162" s="4" t="str">
        <f>IF(COUNTIF(D:D,D162)&gt;1,"D","N")</f>
        <v>N</v>
      </c>
      <c r="M162" s="4">
        <f>COUNTIFS(D:D,D162,F:F,"UPDATED")</f>
        <v>0</v>
      </c>
      <c r="N162" s="4">
        <f>COUNTIFS(D:D,D162,F:F,"NOT UPDATED")</f>
        <v>1</v>
      </c>
      <c r="O162" s="4">
        <f>COUNTIF(D:D,D162)</f>
        <v>1</v>
      </c>
    </row>
    <row r="163" spans="1:15" hidden="1" x14ac:dyDescent="0.25">
      <c r="A163">
        <v>162</v>
      </c>
      <c r="B163" t="s">
        <v>10</v>
      </c>
      <c r="C163" s="1">
        <v>45789</v>
      </c>
      <c r="D163">
        <v>800473658</v>
      </c>
      <c r="E163">
        <v>800473658</v>
      </c>
      <c r="F163" t="s">
        <v>339</v>
      </c>
      <c r="G163" t="s">
        <v>504</v>
      </c>
      <c r="H163" t="s">
        <v>12</v>
      </c>
      <c r="I163" t="s">
        <v>505</v>
      </c>
      <c r="J163" s="2">
        <v>-49.43</v>
      </c>
      <c r="K163" s="6" t="str">
        <f>I163&amp;J163</f>
        <v>SI520367X31778-49.43</v>
      </c>
      <c r="L163" s="4" t="str">
        <f>IF(COUNTIF(D:D,D163)&gt;1,"D","N")</f>
        <v>N</v>
      </c>
      <c r="M163" s="4">
        <f>COUNTIFS(D:D,D163,F:F,"UPDATED")</f>
        <v>1</v>
      </c>
      <c r="N163" s="4">
        <f>COUNTIFS(D:D,D163,F:F,"NOT UPDATED")</f>
        <v>0</v>
      </c>
      <c r="O163" s="4">
        <f>COUNTIF(D:D,D163)</f>
        <v>1</v>
      </c>
    </row>
    <row r="164" spans="1:15" hidden="1" x14ac:dyDescent="0.25">
      <c r="A164">
        <v>163</v>
      </c>
      <c r="B164" t="s">
        <v>111</v>
      </c>
      <c r="C164" s="1">
        <v>45789</v>
      </c>
      <c r="D164" t="s">
        <v>506</v>
      </c>
      <c r="E164" t="e">
        <v>#N/A</v>
      </c>
      <c r="F164" t="s">
        <v>11</v>
      </c>
      <c r="G164" s="2">
        <v>2253.52</v>
      </c>
      <c r="H164" t="s">
        <v>15</v>
      </c>
      <c r="I164" t="s">
        <v>507</v>
      </c>
      <c r="J164" s="2">
        <v>-68.989999999999995</v>
      </c>
      <c r="K164" s="6" t="str">
        <f>I164&amp;J164</f>
        <v>20241230 SI463366X18650-68.99</v>
      </c>
      <c r="L164" s="4" t="str">
        <f>IF(COUNTIF(D:D,D164)&gt;1,"D","N")</f>
        <v>D</v>
      </c>
      <c r="M164" s="4">
        <f>COUNTIFS(D:D,D164,F:F,"UPDATED")</f>
        <v>0</v>
      </c>
      <c r="N164" s="4">
        <f>COUNTIFS(D:D,D164,F:F,"NOT UPDATED")</f>
        <v>7</v>
      </c>
      <c r="O164" s="4">
        <f>COUNTIF(D:D,D164)</f>
        <v>7</v>
      </c>
    </row>
    <row r="165" spans="1:15" hidden="1" x14ac:dyDescent="0.25">
      <c r="A165">
        <v>164</v>
      </c>
      <c r="B165" t="s">
        <v>111</v>
      </c>
      <c r="C165" s="1">
        <v>45789</v>
      </c>
      <c r="D165" t="s">
        <v>506</v>
      </c>
      <c r="E165" t="e">
        <v>#N/A</v>
      </c>
      <c r="F165" t="s">
        <v>11</v>
      </c>
      <c r="G165" s="2">
        <v>2253.52</v>
      </c>
      <c r="H165" t="s">
        <v>15</v>
      </c>
      <c r="I165" t="s">
        <v>508</v>
      </c>
      <c r="J165" s="2">
        <v>-115.26</v>
      </c>
      <c r="K165" s="6" t="str">
        <f>I165&amp;J165</f>
        <v>20241227 SI463367X18650-115.26</v>
      </c>
      <c r="L165" s="4" t="str">
        <f>IF(COUNTIF(D:D,D165)&gt;1,"D","N")</f>
        <v>D</v>
      </c>
      <c r="M165" s="4">
        <f>COUNTIFS(D:D,D165,F:F,"UPDATED")</f>
        <v>0</v>
      </c>
      <c r="N165" s="4">
        <f>COUNTIFS(D:D,D165,F:F,"NOT UPDATED")</f>
        <v>7</v>
      </c>
      <c r="O165" s="4">
        <f>COUNTIF(D:D,D165)</f>
        <v>7</v>
      </c>
    </row>
    <row r="166" spans="1:15" hidden="1" x14ac:dyDescent="0.25">
      <c r="A166">
        <v>165</v>
      </c>
      <c r="B166" t="s">
        <v>111</v>
      </c>
      <c r="C166" s="1">
        <v>45789</v>
      </c>
      <c r="D166" t="s">
        <v>506</v>
      </c>
      <c r="E166" t="e">
        <v>#N/A</v>
      </c>
      <c r="F166" t="s">
        <v>11</v>
      </c>
      <c r="G166" s="2">
        <v>2253.52</v>
      </c>
      <c r="H166" t="s">
        <v>15</v>
      </c>
      <c r="I166" t="s">
        <v>509</v>
      </c>
      <c r="J166" s="2">
        <v>-68.989999999999995</v>
      </c>
      <c r="K166" s="6" t="str">
        <f>I166&amp;J166</f>
        <v>20241228 SI463368X18650-68.99</v>
      </c>
      <c r="L166" s="4" t="str">
        <f>IF(COUNTIF(D:D,D166)&gt;1,"D","N")</f>
        <v>D</v>
      </c>
      <c r="M166" s="4">
        <f>COUNTIFS(D:D,D166,F:F,"UPDATED")</f>
        <v>0</v>
      </c>
      <c r="N166" s="4">
        <f>COUNTIFS(D:D,D166,F:F,"NOT UPDATED")</f>
        <v>7</v>
      </c>
      <c r="O166" s="4">
        <f>COUNTIF(D:D,D166)</f>
        <v>7</v>
      </c>
    </row>
    <row r="167" spans="1:15" hidden="1" x14ac:dyDescent="0.25">
      <c r="A167">
        <v>166</v>
      </c>
      <c r="B167" t="s">
        <v>111</v>
      </c>
      <c r="C167" s="1">
        <v>45789</v>
      </c>
      <c r="D167" t="s">
        <v>506</v>
      </c>
      <c r="E167" t="e">
        <v>#N/A</v>
      </c>
      <c r="F167" t="s">
        <v>11</v>
      </c>
      <c r="G167" s="2">
        <v>2253.52</v>
      </c>
      <c r="H167" t="s">
        <v>15</v>
      </c>
      <c r="I167" t="s">
        <v>510</v>
      </c>
      <c r="J167" s="2">
        <v>-68.989999999999995</v>
      </c>
      <c r="K167" s="6" t="str">
        <f>I167&amp;J167</f>
        <v>20241229 SI463369X18650-68.99</v>
      </c>
      <c r="L167" s="4" t="str">
        <f>IF(COUNTIF(D:D,D167)&gt;1,"D","N")</f>
        <v>D</v>
      </c>
      <c r="M167" s="4">
        <f>COUNTIFS(D:D,D167,F:F,"UPDATED")</f>
        <v>0</v>
      </c>
      <c r="N167" s="4">
        <f>COUNTIFS(D:D,D167,F:F,"NOT UPDATED")</f>
        <v>7</v>
      </c>
      <c r="O167" s="4">
        <f>COUNTIF(D:D,D167)</f>
        <v>7</v>
      </c>
    </row>
    <row r="168" spans="1:15" hidden="1" x14ac:dyDescent="0.25">
      <c r="A168">
        <v>167</v>
      </c>
      <c r="B168" t="s">
        <v>111</v>
      </c>
      <c r="C168" s="1">
        <v>45789</v>
      </c>
      <c r="D168" t="s">
        <v>506</v>
      </c>
      <c r="E168" t="e">
        <v>#N/A</v>
      </c>
      <c r="F168" t="s">
        <v>11</v>
      </c>
      <c r="G168" s="2">
        <v>2253.52</v>
      </c>
      <c r="H168" t="s">
        <v>15</v>
      </c>
      <c r="I168" t="s">
        <v>511</v>
      </c>
      <c r="J168" s="2">
        <v>-68.989999999999995</v>
      </c>
      <c r="K168" s="6" t="str">
        <f>I168&amp;J168</f>
        <v>20250101 SI463370X18650-68.99</v>
      </c>
      <c r="L168" s="4" t="str">
        <f>IF(COUNTIF(D:D,D168)&gt;1,"D","N")</f>
        <v>D</v>
      </c>
      <c r="M168" s="4">
        <f>COUNTIFS(D:D,D168,F:F,"UPDATED")</f>
        <v>0</v>
      </c>
      <c r="N168" s="4">
        <f>COUNTIFS(D:D,D168,F:F,"NOT UPDATED")</f>
        <v>7</v>
      </c>
      <c r="O168" s="4">
        <f>COUNTIF(D:D,D168)</f>
        <v>7</v>
      </c>
    </row>
    <row r="169" spans="1:15" hidden="1" x14ac:dyDescent="0.25">
      <c r="A169">
        <v>168</v>
      </c>
      <c r="B169" t="s">
        <v>111</v>
      </c>
      <c r="C169" s="1">
        <v>45789</v>
      </c>
      <c r="D169" t="s">
        <v>506</v>
      </c>
      <c r="E169" t="e">
        <v>#N/A</v>
      </c>
      <c r="F169" t="s">
        <v>11</v>
      </c>
      <c r="G169" s="2">
        <v>2253.52</v>
      </c>
      <c r="H169" t="s">
        <v>15</v>
      </c>
      <c r="I169" t="s">
        <v>512</v>
      </c>
      <c r="J169" s="2">
        <v>-68.989999999999995</v>
      </c>
      <c r="K169" s="6" t="str">
        <f>I169&amp;J169</f>
        <v>20241231 SI468888X18650-68.99</v>
      </c>
      <c r="L169" s="4" t="str">
        <f>IF(COUNTIF(D:D,D169)&gt;1,"D","N")</f>
        <v>D</v>
      </c>
      <c r="M169" s="4">
        <f>COUNTIFS(D:D,D169,F:F,"UPDATED")</f>
        <v>0</v>
      </c>
      <c r="N169" s="4">
        <f>COUNTIFS(D:D,D169,F:F,"NOT UPDATED")</f>
        <v>7</v>
      </c>
      <c r="O169" s="4">
        <f>COUNTIF(D:D,D169)</f>
        <v>7</v>
      </c>
    </row>
    <row r="170" spans="1:15" hidden="1" x14ac:dyDescent="0.25">
      <c r="A170">
        <v>169</v>
      </c>
      <c r="B170" t="s">
        <v>111</v>
      </c>
      <c r="C170" s="1">
        <v>45789</v>
      </c>
      <c r="D170" t="s">
        <v>506</v>
      </c>
      <c r="E170" t="e">
        <v>#N/A</v>
      </c>
      <c r="F170" t="s">
        <v>11</v>
      </c>
      <c r="G170" s="2">
        <v>2253.52</v>
      </c>
      <c r="H170" t="s">
        <v>15</v>
      </c>
      <c r="I170" t="s">
        <v>513</v>
      </c>
      <c r="J170" s="2">
        <v>-69.28</v>
      </c>
      <c r="K170" s="6" t="str">
        <f>I170&amp;J170</f>
        <v>20250102 SI468887X18650-69.28</v>
      </c>
      <c r="L170" s="4" t="str">
        <f>IF(COUNTIF(D:D,D170)&gt;1,"D","N")</f>
        <v>D</v>
      </c>
      <c r="M170" s="4">
        <f>COUNTIFS(D:D,D170,F:F,"UPDATED")</f>
        <v>0</v>
      </c>
      <c r="N170" s="4">
        <f>COUNTIFS(D:D,D170,F:F,"NOT UPDATED")</f>
        <v>7</v>
      </c>
      <c r="O170" s="4">
        <f>COUNTIF(D:D,D170)</f>
        <v>7</v>
      </c>
    </row>
    <row r="171" spans="1:15" hidden="1" x14ac:dyDescent="0.25">
      <c r="A171">
        <v>170</v>
      </c>
      <c r="B171" t="s">
        <v>345</v>
      </c>
      <c r="C171" s="1">
        <v>45790</v>
      </c>
      <c r="D171">
        <v>825128000331914</v>
      </c>
      <c r="E171" t="e">
        <v>#N/A</v>
      </c>
      <c r="F171" t="s">
        <v>11</v>
      </c>
      <c r="G171" s="2">
        <v>6849.81</v>
      </c>
      <c r="H171" t="s">
        <v>12</v>
      </c>
      <c r="I171" s="3">
        <v>925122000000000</v>
      </c>
      <c r="J171" s="2">
        <v>118.08</v>
      </c>
      <c r="K171" s="6" t="str">
        <f>I171&amp;J171</f>
        <v>925122000000000118.08</v>
      </c>
      <c r="L171" s="4" t="str">
        <f>IF(COUNTIF(D:D,D171)&gt;1,"D","N")</f>
        <v>D</v>
      </c>
      <c r="M171" s="4">
        <f>COUNTIFS(D:D,D171,F:F,"UPDATED")</f>
        <v>0</v>
      </c>
      <c r="N171" s="4">
        <f>COUNTIFS(D:D,D171,F:F,"NOT UPDATED")</f>
        <v>5</v>
      </c>
      <c r="O171" s="4">
        <f>COUNTIF(D:D,D171)</f>
        <v>5</v>
      </c>
    </row>
    <row r="172" spans="1:15" hidden="1" x14ac:dyDescent="0.25">
      <c r="A172">
        <v>171</v>
      </c>
      <c r="B172" t="s">
        <v>345</v>
      </c>
      <c r="C172" s="1">
        <v>45790</v>
      </c>
      <c r="D172">
        <v>825128000331914</v>
      </c>
      <c r="E172" t="e">
        <v>#N/A</v>
      </c>
      <c r="F172" t="s">
        <v>11</v>
      </c>
      <c r="G172" s="2">
        <v>6849.81</v>
      </c>
      <c r="H172" t="s">
        <v>15</v>
      </c>
      <c r="I172" t="s">
        <v>514</v>
      </c>
      <c r="J172" s="2">
        <v>263.33</v>
      </c>
      <c r="K172" s="6" t="str">
        <f>I172&amp;J172</f>
        <v>EFFDL4H4J0000-SI494970X77897-2025-02-24263.33</v>
      </c>
      <c r="L172" s="4" t="str">
        <f>IF(COUNTIF(D:D,D172)&gt;1,"D","N")</f>
        <v>D</v>
      </c>
      <c r="M172" s="4">
        <f>COUNTIFS(D:D,D172,F:F,"UPDATED")</f>
        <v>0</v>
      </c>
      <c r="N172" s="4">
        <f>COUNTIFS(D:D,D172,F:F,"NOT UPDATED")</f>
        <v>5</v>
      </c>
      <c r="O172" s="4">
        <f>COUNTIF(D:D,D172)</f>
        <v>5</v>
      </c>
    </row>
    <row r="173" spans="1:15" hidden="1" x14ac:dyDescent="0.25">
      <c r="A173">
        <v>172</v>
      </c>
      <c r="B173" t="s">
        <v>345</v>
      </c>
      <c r="C173" s="1">
        <v>45790</v>
      </c>
      <c r="D173">
        <v>825128000331914</v>
      </c>
      <c r="E173" t="e">
        <v>#N/A</v>
      </c>
      <c r="F173" t="s">
        <v>11</v>
      </c>
      <c r="G173" s="2">
        <v>6849.81</v>
      </c>
      <c r="H173" t="s">
        <v>29</v>
      </c>
      <c r="I173" t="s">
        <v>514</v>
      </c>
      <c r="J173" s="2">
        <v>-263.33</v>
      </c>
      <c r="K173" s="6" t="str">
        <f>I173&amp;J173</f>
        <v>EFFDL4H4J0000-SI494970X77897-2025-02-24-263.33</v>
      </c>
      <c r="L173" s="4" t="str">
        <f>IF(COUNTIF(D:D,D173)&gt;1,"D","N")</f>
        <v>D</v>
      </c>
      <c r="M173" s="4">
        <f>COUNTIFS(D:D,D173,F:F,"UPDATED")</f>
        <v>0</v>
      </c>
      <c r="N173" s="4">
        <f>COUNTIFS(D:D,D173,F:F,"NOT UPDATED")</f>
        <v>5</v>
      </c>
      <c r="O173" s="4">
        <f>COUNTIF(D:D,D173)</f>
        <v>5</v>
      </c>
    </row>
    <row r="174" spans="1:15" hidden="1" x14ac:dyDescent="0.25">
      <c r="A174">
        <v>173</v>
      </c>
      <c r="B174" t="s">
        <v>345</v>
      </c>
      <c r="C174" s="1">
        <v>45790</v>
      </c>
      <c r="D174">
        <v>825128000331914</v>
      </c>
      <c r="E174" t="e">
        <v>#N/A</v>
      </c>
      <c r="F174" t="s">
        <v>11</v>
      </c>
      <c r="G174" s="2">
        <v>6849.81</v>
      </c>
      <c r="H174" t="s">
        <v>15</v>
      </c>
      <c r="I174" t="s">
        <v>515</v>
      </c>
      <c r="J174" s="2">
        <v>118.08</v>
      </c>
      <c r="K174" s="6" t="str">
        <f>I174&amp;J174</f>
        <v>ETTYHM5VJ0000-SI445525X5536-2024-11-30118.08</v>
      </c>
      <c r="L174" s="4" t="str">
        <f>IF(COUNTIF(D:D,D174)&gt;1,"D","N")</f>
        <v>D</v>
      </c>
      <c r="M174" s="4">
        <f>COUNTIFS(D:D,D174,F:F,"UPDATED")</f>
        <v>0</v>
      </c>
      <c r="N174" s="4">
        <f>COUNTIFS(D:D,D174,F:F,"NOT UPDATED")</f>
        <v>5</v>
      </c>
      <c r="O174" s="4">
        <f>COUNTIF(D:D,D174)</f>
        <v>5</v>
      </c>
    </row>
    <row r="175" spans="1:15" hidden="1" x14ac:dyDescent="0.25">
      <c r="A175">
        <v>174</v>
      </c>
      <c r="B175" t="s">
        <v>345</v>
      </c>
      <c r="C175" s="1">
        <v>45790</v>
      </c>
      <c r="D175">
        <v>825128000331914</v>
      </c>
      <c r="E175" t="e">
        <v>#N/A</v>
      </c>
      <c r="F175" t="s">
        <v>11</v>
      </c>
      <c r="G175" s="2">
        <v>6849.81</v>
      </c>
      <c r="H175" t="s">
        <v>29</v>
      </c>
      <c r="I175" t="s">
        <v>515</v>
      </c>
      <c r="J175" s="2">
        <v>-118.08</v>
      </c>
      <c r="K175" s="6" t="str">
        <f>I175&amp;J175</f>
        <v>ETTYHM5VJ0000-SI445525X5536-2024-11-30-118.08</v>
      </c>
      <c r="L175" s="4" t="str">
        <f>IF(COUNTIF(D:D,D175)&gt;1,"D","N")</f>
        <v>D</v>
      </c>
      <c r="M175" s="4">
        <f>COUNTIFS(D:D,D175,F:F,"UPDATED")</f>
        <v>0</v>
      </c>
      <c r="N175" s="4">
        <f>COUNTIFS(D:D,D175,F:F,"NOT UPDATED")</f>
        <v>5</v>
      </c>
      <c r="O175" s="4">
        <f>COUNTIF(D:D,D175)</f>
        <v>5</v>
      </c>
    </row>
    <row r="176" spans="1:15" hidden="1" x14ac:dyDescent="0.25">
      <c r="A176">
        <v>175</v>
      </c>
      <c r="B176" t="s">
        <v>341</v>
      </c>
      <c r="C176" s="1">
        <v>45790</v>
      </c>
      <c r="D176" t="s">
        <v>516</v>
      </c>
      <c r="E176" t="e">
        <v>#N/A</v>
      </c>
      <c r="F176" t="s">
        <v>11</v>
      </c>
      <c r="G176" t="s">
        <v>517</v>
      </c>
      <c r="H176" t="s">
        <v>15</v>
      </c>
      <c r="I176" t="s">
        <v>518</v>
      </c>
      <c r="J176" s="2">
        <v>17.22</v>
      </c>
      <c r="K176" s="6" t="str">
        <f>I176&amp;J176</f>
        <v>02024226500515U0X.SI375647X1565817.22</v>
      </c>
      <c r="L176" s="4" t="str">
        <f>IF(COUNTIF(D:D,D176)&gt;1,"D","N")</f>
        <v>D</v>
      </c>
      <c r="M176" s="4">
        <f>COUNTIFS(D:D,D176,F:F,"UPDATED")</f>
        <v>0</v>
      </c>
      <c r="N176" s="4">
        <f>COUNTIFS(D:D,D176,F:F,"NOT UPDATED")</f>
        <v>9</v>
      </c>
      <c r="O176" s="4">
        <f>COUNTIF(D:D,D176)</f>
        <v>9</v>
      </c>
    </row>
    <row r="177" spans="1:15" hidden="1" x14ac:dyDescent="0.25">
      <c r="A177">
        <v>176</v>
      </c>
      <c r="B177" t="s">
        <v>341</v>
      </c>
      <c r="C177" s="1">
        <v>45790</v>
      </c>
      <c r="D177" t="s">
        <v>516</v>
      </c>
      <c r="E177" t="e">
        <v>#N/A</v>
      </c>
      <c r="F177" t="s">
        <v>11</v>
      </c>
      <c r="G177" t="s">
        <v>517</v>
      </c>
      <c r="H177" t="s">
        <v>194</v>
      </c>
      <c r="I177" t="s">
        <v>519</v>
      </c>
      <c r="J177" s="2">
        <v>-46.24</v>
      </c>
      <c r="K177" s="6" t="str">
        <f>I177&amp;J177</f>
        <v>02024296502D3620X00.SI420751X38133-46.24</v>
      </c>
      <c r="L177" s="4" t="str">
        <f>IF(COUNTIF(D:D,D177)&gt;1,"D","N")</f>
        <v>D</v>
      </c>
      <c r="M177" s="4">
        <f>COUNTIFS(D:D,D177,F:F,"UPDATED")</f>
        <v>0</v>
      </c>
      <c r="N177" s="4">
        <f>COUNTIFS(D:D,D177,F:F,"NOT UPDATED")</f>
        <v>9</v>
      </c>
      <c r="O177" s="4">
        <f>COUNTIF(D:D,D177)</f>
        <v>9</v>
      </c>
    </row>
    <row r="178" spans="1:15" hidden="1" x14ac:dyDescent="0.25">
      <c r="A178">
        <v>177</v>
      </c>
      <c r="B178" t="s">
        <v>341</v>
      </c>
      <c r="C178" s="1">
        <v>45790</v>
      </c>
      <c r="D178" t="s">
        <v>516</v>
      </c>
      <c r="E178" t="e">
        <v>#N/A</v>
      </c>
      <c r="F178" t="s">
        <v>11</v>
      </c>
      <c r="G178" t="s">
        <v>517</v>
      </c>
      <c r="H178" t="s">
        <v>29</v>
      </c>
      <c r="I178" t="s">
        <v>520</v>
      </c>
      <c r="J178" s="2">
        <v>-33.4</v>
      </c>
      <c r="K178" s="6" t="str">
        <f>I178&amp;J178</f>
        <v>8.02024296502D3620X00.SI420751X38133-33.4</v>
      </c>
      <c r="L178" s="4" t="str">
        <f>IF(COUNTIF(D:D,D178)&gt;1,"D","N")</f>
        <v>D</v>
      </c>
      <c r="M178" s="4">
        <f>COUNTIFS(D:D,D178,F:F,"UPDATED")</f>
        <v>0</v>
      </c>
      <c r="N178" s="4">
        <f>COUNTIFS(D:D,D178,F:F,"NOT UPDATED")</f>
        <v>9</v>
      </c>
      <c r="O178" s="4">
        <f>COUNTIF(D:D,D178)</f>
        <v>9</v>
      </c>
    </row>
    <row r="179" spans="1:15" hidden="1" x14ac:dyDescent="0.25">
      <c r="A179">
        <v>178</v>
      </c>
      <c r="B179" t="s">
        <v>341</v>
      </c>
      <c r="C179" s="1">
        <v>45790</v>
      </c>
      <c r="D179" t="s">
        <v>516</v>
      </c>
      <c r="E179" t="e">
        <v>#N/A</v>
      </c>
      <c r="F179" t="s">
        <v>11</v>
      </c>
      <c r="G179" t="s">
        <v>517</v>
      </c>
      <c r="H179" t="s">
        <v>29</v>
      </c>
      <c r="I179" t="s">
        <v>521</v>
      </c>
      <c r="J179" s="2">
        <v>-83.67</v>
      </c>
      <c r="K179" s="6" t="str">
        <f>I179&amp;J179</f>
        <v>8.02024302501X9140X00.SI424388X46573-83.67</v>
      </c>
      <c r="L179" s="4" t="str">
        <f>IF(COUNTIF(D:D,D179)&gt;1,"D","N")</f>
        <v>D</v>
      </c>
      <c r="M179" s="4">
        <f>COUNTIFS(D:D,D179,F:F,"UPDATED")</f>
        <v>0</v>
      </c>
      <c r="N179" s="4">
        <f>COUNTIFS(D:D,D179,F:F,"NOT UPDATED")</f>
        <v>9</v>
      </c>
      <c r="O179" s="4">
        <f>COUNTIF(D:D,D179)</f>
        <v>9</v>
      </c>
    </row>
    <row r="180" spans="1:15" hidden="1" x14ac:dyDescent="0.25">
      <c r="A180">
        <v>179</v>
      </c>
      <c r="B180" t="s">
        <v>341</v>
      </c>
      <c r="C180" s="1">
        <v>45790</v>
      </c>
      <c r="D180" t="s">
        <v>516</v>
      </c>
      <c r="E180" t="e">
        <v>#N/A</v>
      </c>
      <c r="F180" t="s">
        <v>11</v>
      </c>
      <c r="G180" t="s">
        <v>517</v>
      </c>
      <c r="H180" t="s">
        <v>29</v>
      </c>
      <c r="I180" t="s">
        <v>522</v>
      </c>
      <c r="J180" s="2">
        <v>-168.83</v>
      </c>
      <c r="K180" s="6" t="str">
        <f>I180&amp;J180</f>
        <v>8.02024257501712V0X00.SI394103X59553-168.83</v>
      </c>
      <c r="L180" s="4" t="str">
        <f>IF(COUNTIF(D:D,D180)&gt;1,"D","N")</f>
        <v>D</v>
      </c>
      <c r="M180" s="4">
        <f>COUNTIFS(D:D,D180,F:F,"UPDATED")</f>
        <v>0</v>
      </c>
      <c r="N180" s="4">
        <f>COUNTIFS(D:D,D180,F:F,"NOT UPDATED")</f>
        <v>9</v>
      </c>
      <c r="O180" s="4">
        <f>COUNTIF(D:D,D180)</f>
        <v>9</v>
      </c>
    </row>
    <row r="181" spans="1:15" hidden="1" x14ac:dyDescent="0.25">
      <c r="A181">
        <v>180</v>
      </c>
      <c r="B181" t="s">
        <v>341</v>
      </c>
      <c r="C181" s="1">
        <v>45790</v>
      </c>
      <c r="D181" t="s">
        <v>516</v>
      </c>
      <c r="E181" t="e">
        <v>#N/A</v>
      </c>
      <c r="F181" t="s">
        <v>11</v>
      </c>
      <c r="G181" t="s">
        <v>517</v>
      </c>
      <c r="H181" t="s">
        <v>29</v>
      </c>
      <c r="I181" t="s">
        <v>523</v>
      </c>
      <c r="J181" s="2">
        <v>-179.02</v>
      </c>
      <c r="K181" s="6" t="str">
        <f>I181&amp;J181</f>
        <v>8.02024316501L0150X00.SI431889X95322-179.02</v>
      </c>
      <c r="L181" s="4" t="str">
        <f>IF(COUNTIF(D:D,D181)&gt;1,"D","N")</f>
        <v>D</v>
      </c>
      <c r="M181" s="4">
        <f>COUNTIFS(D:D,D181,F:F,"UPDATED")</f>
        <v>0</v>
      </c>
      <c r="N181" s="4">
        <f>COUNTIFS(D:D,D181,F:F,"NOT UPDATED")</f>
        <v>9</v>
      </c>
      <c r="O181" s="4">
        <f>COUNTIF(D:D,D181)</f>
        <v>9</v>
      </c>
    </row>
    <row r="182" spans="1:15" hidden="1" x14ac:dyDescent="0.25">
      <c r="A182">
        <v>181</v>
      </c>
      <c r="B182" t="s">
        <v>341</v>
      </c>
      <c r="C182" s="1">
        <v>45790</v>
      </c>
      <c r="D182" t="s">
        <v>516</v>
      </c>
      <c r="E182" t="e">
        <v>#N/A</v>
      </c>
      <c r="F182" t="s">
        <v>11</v>
      </c>
      <c r="G182" t="s">
        <v>517</v>
      </c>
      <c r="H182" t="s">
        <v>29</v>
      </c>
      <c r="I182" t="s">
        <v>524</v>
      </c>
      <c r="J182" s="2">
        <v>-118.21</v>
      </c>
      <c r="K182" s="6" t="str">
        <f>I182&amp;J182</f>
        <v>8.02024318503226B0X00.SI316383X79413-118.21</v>
      </c>
      <c r="L182" s="4" t="str">
        <f>IF(COUNTIF(D:D,D182)&gt;1,"D","N")</f>
        <v>D</v>
      </c>
      <c r="M182" s="4">
        <f>COUNTIFS(D:D,D182,F:F,"UPDATED")</f>
        <v>0</v>
      </c>
      <c r="N182" s="4">
        <f>COUNTIFS(D:D,D182,F:F,"NOT UPDATED")</f>
        <v>9</v>
      </c>
      <c r="O182" s="4">
        <f>COUNTIF(D:D,D182)</f>
        <v>9</v>
      </c>
    </row>
    <row r="183" spans="1:15" hidden="1" x14ac:dyDescent="0.25">
      <c r="A183">
        <v>182</v>
      </c>
      <c r="B183" t="s">
        <v>341</v>
      </c>
      <c r="C183" s="1">
        <v>45790</v>
      </c>
      <c r="D183" t="s">
        <v>516</v>
      </c>
      <c r="E183" t="e">
        <v>#N/A</v>
      </c>
      <c r="F183" t="s">
        <v>11</v>
      </c>
      <c r="G183" t="s">
        <v>517</v>
      </c>
      <c r="H183" t="s">
        <v>29</v>
      </c>
      <c r="I183" t="s">
        <v>525</v>
      </c>
      <c r="J183" s="2">
        <v>-122.56</v>
      </c>
      <c r="K183" s="6" t="str">
        <f>I183&amp;J183</f>
        <v>8.020243265087Q490X00.SI316382X79413-122.56</v>
      </c>
      <c r="L183" s="4" t="str">
        <f>IF(COUNTIF(D:D,D183)&gt;1,"D","N")</f>
        <v>D</v>
      </c>
      <c r="M183" s="4">
        <f>COUNTIFS(D:D,D183,F:F,"UPDATED")</f>
        <v>0</v>
      </c>
      <c r="N183" s="4">
        <f>COUNTIFS(D:D,D183,F:F,"NOT UPDATED")</f>
        <v>9</v>
      </c>
      <c r="O183" s="4">
        <f>COUNTIF(D:D,D183)</f>
        <v>9</v>
      </c>
    </row>
    <row r="184" spans="1:15" hidden="1" x14ac:dyDescent="0.25">
      <c r="A184">
        <v>183</v>
      </c>
      <c r="B184" t="s">
        <v>341</v>
      </c>
      <c r="C184" s="1">
        <v>45790</v>
      </c>
      <c r="D184" t="s">
        <v>516</v>
      </c>
      <c r="E184" t="e">
        <v>#N/A</v>
      </c>
      <c r="F184" t="s">
        <v>11</v>
      </c>
      <c r="G184" t="s">
        <v>517</v>
      </c>
      <c r="H184" t="s">
        <v>29</v>
      </c>
      <c r="I184" t="s">
        <v>526</v>
      </c>
      <c r="J184" s="2">
        <v>-71.44</v>
      </c>
      <c r="K184" s="6" t="str">
        <f>I184&amp;J184</f>
        <v>8.020242925032G160X00.SI418348X89929-71.44</v>
      </c>
      <c r="L184" s="4" t="str">
        <f>IF(COUNTIF(D:D,D184)&gt;1,"D","N")</f>
        <v>D</v>
      </c>
      <c r="M184" s="4">
        <f>COUNTIFS(D:D,D184,F:F,"UPDATED")</f>
        <v>0</v>
      </c>
      <c r="N184" s="4">
        <f>COUNTIFS(D:D,D184,F:F,"NOT UPDATED")</f>
        <v>9</v>
      </c>
      <c r="O184" s="4">
        <f>COUNTIF(D:D,D184)</f>
        <v>9</v>
      </c>
    </row>
    <row r="185" spans="1:15" hidden="1" x14ac:dyDescent="0.25">
      <c r="A185">
        <v>184</v>
      </c>
      <c r="B185" t="s">
        <v>341</v>
      </c>
      <c r="C185" s="1">
        <v>45790</v>
      </c>
      <c r="D185" t="s">
        <v>527</v>
      </c>
      <c r="E185" t="s">
        <v>527</v>
      </c>
      <c r="F185" t="s">
        <v>339</v>
      </c>
      <c r="G185" s="2">
        <v>32135.9</v>
      </c>
      <c r="H185" t="s">
        <v>29</v>
      </c>
      <c r="I185" t="s">
        <v>528</v>
      </c>
      <c r="J185" s="2">
        <v>-158.61000000000001</v>
      </c>
      <c r="K185" s="6" t="str">
        <f>I185&amp;J185</f>
        <v>02025080500H9260X00.SI507649X3849-158.61</v>
      </c>
      <c r="L185" s="4" t="str">
        <f>IF(COUNTIF(D:D,D185)&gt;1,"D","N")</f>
        <v>N</v>
      </c>
      <c r="M185" s="4">
        <f>COUNTIFS(D:D,D185,F:F,"UPDATED")</f>
        <v>1</v>
      </c>
      <c r="N185" s="4">
        <f>COUNTIFS(D:D,D185,F:F,"NOT UPDATED")</f>
        <v>0</v>
      </c>
      <c r="O185" s="4">
        <f>COUNTIF(D:D,D185)</f>
        <v>1</v>
      </c>
    </row>
    <row r="186" spans="1:15" hidden="1" x14ac:dyDescent="0.25">
      <c r="A186">
        <v>185</v>
      </c>
      <c r="B186" t="s">
        <v>341</v>
      </c>
      <c r="C186" s="1">
        <v>45790</v>
      </c>
      <c r="D186" t="s">
        <v>529</v>
      </c>
      <c r="E186" t="e">
        <v>#N/A</v>
      </c>
      <c r="F186" t="s">
        <v>11</v>
      </c>
      <c r="G186" s="2">
        <v>0</v>
      </c>
      <c r="H186" t="s">
        <v>194</v>
      </c>
      <c r="I186" t="s">
        <v>530</v>
      </c>
      <c r="J186" s="2">
        <v>-6.08</v>
      </c>
      <c r="K186" s="6" t="str">
        <f>I186&amp;J186</f>
        <v>020243125029Z310X00.SI429973X49271-6.08</v>
      </c>
      <c r="L186" s="4" t="str">
        <f>IF(COUNTIF(D:D,D186)&gt;1,"D","N")</f>
        <v>D</v>
      </c>
      <c r="M186" s="4">
        <f>COUNTIFS(D:D,D186,F:F,"UPDATED")</f>
        <v>0</v>
      </c>
      <c r="N186" s="4">
        <f>COUNTIFS(D:D,D186,F:F,"NOT UPDATED")</f>
        <v>6</v>
      </c>
      <c r="O186" s="4">
        <f>COUNTIF(D:D,D186)</f>
        <v>6</v>
      </c>
    </row>
    <row r="187" spans="1:15" hidden="1" x14ac:dyDescent="0.25">
      <c r="A187">
        <v>186</v>
      </c>
      <c r="B187" t="s">
        <v>341</v>
      </c>
      <c r="C187" s="1">
        <v>45790</v>
      </c>
      <c r="D187" t="s">
        <v>529</v>
      </c>
      <c r="E187" t="e">
        <v>#N/A</v>
      </c>
      <c r="F187" t="s">
        <v>11</v>
      </c>
      <c r="G187" s="2">
        <v>0</v>
      </c>
      <c r="H187" t="s">
        <v>29</v>
      </c>
      <c r="I187" t="s">
        <v>531</v>
      </c>
      <c r="J187" s="2">
        <v>-168.48</v>
      </c>
      <c r="K187" s="6" t="str">
        <f>I187&amp;J187</f>
        <v>8.0202427550009N80X00.SI407377X20942-168.48</v>
      </c>
      <c r="L187" s="4" t="str">
        <f>IF(COUNTIF(D:D,D187)&gt;1,"D","N")</f>
        <v>D</v>
      </c>
      <c r="M187" s="4">
        <f>COUNTIFS(D:D,D187,F:F,"UPDATED")</f>
        <v>0</v>
      </c>
      <c r="N187" s="4">
        <f>COUNTIFS(D:D,D187,F:F,"NOT UPDATED")</f>
        <v>6</v>
      </c>
      <c r="O187" s="4">
        <f>COUNTIF(D:D,D187)</f>
        <v>6</v>
      </c>
    </row>
    <row r="188" spans="1:15" hidden="1" x14ac:dyDescent="0.25">
      <c r="A188">
        <v>187</v>
      </c>
      <c r="B188" t="s">
        <v>341</v>
      </c>
      <c r="C188" s="1">
        <v>45790</v>
      </c>
      <c r="D188" t="s">
        <v>529</v>
      </c>
      <c r="E188" t="e">
        <v>#N/A</v>
      </c>
      <c r="F188" t="s">
        <v>11</v>
      </c>
      <c r="G188" s="2">
        <v>0</v>
      </c>
      <c r="H188" t="s">
        <v>29</v>
      </c>
      <c r="I188" t="s">
        <v>532</v>
      </c>
      <c r="J188" s="2">
        <v>-181.83</v>
      </c>
      <c r="K188" s="6" t="str">
        <f>I188&amp;J188</f>
        <v>8.0202510150504A30X00.SI517810X27152-181.83</v>
      </c>
      <c r="L188" s="4" t="str">
        <f>IF(COUNTIF(D:D,D188)&gt;1,"D","N")</f>
        <v>D</v>
      </c>
      <c r="M188" s="4">
        <f>COUNTIFS(D:D,D188,F:F,"UPDATED")</f>
        <v>0</v>
      </c>
      <c r="N188" s="4">
        <f>COUNTIFS(D:D,D188,F:F,"NOT UPDATED")</f>
        <v>6</v>
      </c>
      <c r="O188" s="4">
        <f>COUNTIF(D:D,D188)</f>
        <v>6</v>
      </c>
    </row>
    <row r="189" spans="1:15" hidden="1" x14ac:dyDescent="0.25">
      <c r="A189">
        <v>188</v>
      </c>
      <c r="B189" t="s">
        <v>341</v>
      </c>
      <c r="C189" s="1">
        <v>45790</v>
      </c>
      <c r="D189" t="s">
        <v>529</v>
      </c>
      <c r="E189" t="e">
        <v>#N/A</v>
      </c>
      <c r="F189" t="s">
        <v>11</v>
      </c>
      <c r="G189" s="2">
        <v>0</v>
      </c>
      <c r="H189" t="s">
        <v>29</v>
      </c>
      <c r="I189" t="s">
        <v>533</v>
      </c>
      <c r="J189" s="2">
        <v>-24.76</v>
      </c>
      <c r="K189" s="6" t="str">
        <f>I189&amp;J189</f>
        <v>8.02024318503516B0X00.SI433125X53329-24.76</v>
      </c>
      <c r="L189" s="4" t="str">
        <f>IF(COUNTIF(D:D,D189)&gt;1,"D","N")</f>
        <v>D</v>
      </c>
      <c r="M189" s="4">
        <f>COUNTIFS(D:D,D189,F:F,"UPDATED")</f>
        <v>0</v>
      </c>
      <c r="N189" s="4">
        <f>COUNTIFS(D:D,D189,F:F,"NOT UPDATED")</f>
        <v>6</v>
      </c>
      <c r="O189" s="4">
        <f>COUNTIF(D:D,D189)</f>
        <v>6</v>
      </c>
    </row>
    <row r="190" spans="1:15" hidden="1" x14ac:dyDescent="0.25">
      <c r="A190">
        <v>189</v>
      </c>
      <c r="B190" t="s">
        <v>341</v>
      </c>
      <c r="C190" s="1">
        <v>45790</v>
      </c>
      <c r="D190" t="s">
        <v>529</v>
      </c>
      <c r="E190" t="e">
        <v>#N/A</v>
      </c>
      <c r="F190" t="s">
        <v>11</v>
      </c>
      <c r="G190" s="2">
        <v>0</v>
      </c>
      <c r="H190" t="s">
        <v>29</v>
      </c>
      <c r="I190" t="s">
        <v>534</v>
      </c>
      <c r="J190" s="2">
        <v>-107.25</v>
      </c>
      <c r="K190" s="6" t="str">
        <f>I190&amp;J190</f>
        <v>8.02024313501D5680X00.SI430607X32406-107.25</v>
      </c>
      <c r="L190" s="4" t="str">
        <f>IF(COUNTIF(D:D,D190)&gt;1,"D","N")</f>
        <v>D</v>
      </c>
      <c r="M190" s="4">
        <f>COUNTIFS(D:D,D190,F:F,"UPDATED")</f>
        <v>0</v>
      </c>
      <c r="N190" s="4">
        <f>COUNTIFS(D:D,D190,F:F,"NOT UPDATED")</f>
        <v>6</v>
      </c>
      <c r="O190" s="4">
        <f>COUNTIF(D:D,D190)</f>
        <v>6</v>
      </c>
    </row>
    <row r="191" spans="1:15" hidden="1" x14ac:dyDescent="0.25">
      <c r="A191">
        <v>190</v>
      </c>
      <c r="B191" t="s">
        <v>341</v>
      </c>
      <c r="C191" s="1">
        <v>45790</v>
      </c>
      <c r="D191" t="s">
        <v>529</v>
      </c>
      <c r="E191" t="e">
        <v>#N/A</v>
      </c>
      <c r="F191" t="s">
        <v>11</v>
      </c>
      <c r="G191" s="2">
        <v>0</v>
      </c>
      <c r="H191" t="s">
        <v>29</v>
      </c>
      <c r="I191" t="s">
        <v>535</v>
      </c>
      <c r="J191" s="2">
        <v>-41.36</v>
      </c>
      <c r="K191" s="6" t="str">
        <f>I191&amp;J191</f>
        <v>8.020243125029Z310X00.SI429973X49271-41.36</v>
      </c>
      <c r="L191" s="4" t="str">
        <f>IF(COUNTIF(D:D,D191)&gt;1,"D","N")</f>
        <v>D</v>
      </c>
      <c r="M191" s="4">
        <f>COUNTIFS(D:D,D191,F:F,"UPDATED")</f>
        <v>0</v>
      </c>
      <c r="N191" s="4">
        <f>COUNTIFS(D:D,D191,F:F,"NOT UPDATED")</f>
        <v>6</v>
      </c>
      <c r="O191" s="4">
        <f>COUNTIF(D:D,D191)</f>
        <v>6</v>
      </c>
    </row>
    <row r="192" spans="1:15" hidden="1" x14ac:dyDescent="0.25">
      <c r="A192">
        <v>191</v>
      </c>
      <c r="B192" t="s">
        <v>345</v>
      </c>
      <c r="C192" s="1">
        <v>45791</v>
      </c>
      <c r="D192">
        <v>882512901008966</v>
      </c>
      <c r="E192">
        <v>882512901008966</v>
      </c>
      <c r="F192" t="s">
        <v>339</v>
      </c>
      <c r="G192" s="2">
        <v>356.97</v>
      </c>
      <c r="H192" t="s">
        <v>15</v>
      </c>
      <c r="I192" t="s">
        <v>536</v>
      </c>
      <c r="J192" s="2">
        <v>-24.61</v>
      </c>
      <c r="K192" s="6" t="str">
        <f>I192&amp;J192</f>
        <v>E2Y2KPYWY0001-SI505569X102068-2025-03-04-24.61</v>
      </c>
      <c r="L192" s="4" t="str">
        <f>IF(COUNTIF(D:D,D192)&gt;1,"D","N")</f>
        <v>N</v>
      </c>
      <c r="M192" s="4">
        <f>COUNTIFS(D:D,D192,F:F,"UPDATED")</f>
        <v>1</v>
      </c>
      <c r="N192" s="4">
        <f>COUNTIFS(D:D,D192,F:F,"NOT UPDATED")</f>
        <v>0</v>
      </c>
      <c r="O192" s="4">
        <f>COUNTIF(D:D,D192)</f>
        <v>1</v>
      </c>
    </row>
    <row r="193" spans="1:15" hidden="1" x14ac:dyDescent="0.25">
      <c r="A193">
        <v>192</v>
      </c>
      <c r="B193" t="s">
        <v>345</v>
      </c>
      <c r="C193" s="1">
        <v>45791</v>
      </c>
      <c r="D193">
        <v>992513301018003</v>
      </c>
      <c r="E193" t="e">
        <v>#N/A</v>
      </c>
      <c r="F193" t="s">
        <v>11</v>
      </c>
      <c r="G193" s="2">
        <v>0</v>
      </c>
      <c r="H193" t="s">
        <v>15</v>
      </c>
      <c r="I193" t="s">
        <v>537</v>
      </c>
      <c r="J193" s="2">
        <v>-25.48</v>
      </c>
      <c r="K193" s="6" t="str">
        <f>I193&amp;J193</f>
        <v>ESPDK9KR10000-SI521465X10494-2025-04-11-25.48</v>
      </c>
      <c r="L193" s="4" t="str">
        <f>IF(COUNTIF(D:D,D193)&gt;1,"D","N")</f>
        <v>N</v>
      </c>
      <c r="M193" s="4">
        <f>COUNTIFS(D:D,D193,F:F,"UPDATED")</f>
        <v>0</v>
      </c>
      <c r="N193" s="4">
        <f>COUNTIFS(D:D,D193,F:F,"NOT UPDATED")</f>
        <v>1</v>
      </c>
      <c r="O193" s="4">
        <f>COUNTIF(D:D,D193)</f>
        <v>1</v>
      </c>
    </row>
    <row r="194" spans="1:15" hidden="1" x14ac:dyDescent="0.25">
      <c r="A194">
        <v>193</v>
      </c>
      <c r="B194" t="s">
        <v>341</v>
      </c>
      <c r="C194" s="1">
        <v>45791</v>
      </c>
      <c r="D194" t="s">
        <v>538</v>
      </c>
      <c r="E194" t="e">
        <v>#N/A</v>
      </c>
      <c r="F194" t="s">
        <v>11</v>
      </c>
      <c r="G194" s="2">
        <v>52.44</v>
      </c>
      <c r="H194" t="s">
        <v>194</v>
      </c>
      <c r="I194" t="s">
        <v>539</v>
      </c>
      <c r="J194" s="2">
        <v>-5.3</v>
      </c>
      <c r="K194" s="6" t="str">
        <f>I194&amp;J194</f>
        <v>0202429750791X70X00.SI421153X82800-5.3</v>
      </c>
      <c r="L194" s="4" t="str">
        <f>IF(COUNTIF(D:D,D194)&gt;1,"D","N")</f>
        <v>D</v>
      </c>
      <c r="M194" s="4">
        <f>COUNTIFS(D:D,D194,F:F,"UPDATED")</f>
        <v>0</v>
      </c>
      <c r="N194" s="4">
        <f>COUNTIFS(D:D,D194,F:F,"NOT UPDATED")</f>
        <v>7</v>
      </c>
      <c r="O194" s="4">
        <f>COUNTIF(D:D,D194)</f>
        <v>7</v>
      </c>
    </row>
    <row r="195" spans="1:15" hidden="1" x14ac:dyDescent="0.25">
      <c r="A195">
        <v>194</v>
      </c>
      <c r="B195" t="s">
        <v>341</v>
      </c>
      <c r="C195" s="1">
        <v>45791</v>
      </c>
      <c r="D195" t="s">
        <v>538</v>
      </c>
      <c r="E195" t="e">
        <v>#N/A</v>
      </c>
      <c r="F195" t="s">
        <v>11</v>
      </c>
      <c r="G195" s="2">
        <v>52.44</v>
      </c>
      <c r="H195" t="s">
        <v>29</v>
      </c>
      <c r="I195" t="s">
        <v>540</v>
      </c>
      <c r="J195" s="2">
        <v>-156.44</v>
      </c>
      <c r="K195" s="6" t="str">
        <f>I195&amp;J195</f>
        <v>8.020243445087D600X00.SI447262X66543-156.44</v>
      </c>
      <c r="L195" s="4" t="str">
        <f>IF(COUNTIF(D:D,D195)&gt;1,"D","N")</f>
        <v>D</v>
      </c>
      <c r="M195" s="4">
        <f>COUNTIFS(D:D,D195,F:F,"UPDATED")</f>
        <v>0</v>
      </c>
      <c r="N195" s="4">
        <f>COUNTIFS(D:D,D195,F:F,"NOT UPDATED")</f>
        <v>7</v>
      </c>
      <c r="O195" s="4">
        <f>COUNTIF(D:D,D195)</f>
        <v>7</v>
      </c>
    </row>
    <row r="196" spans="1:15" hidden="1" x14ac:dyDescent="0.25">
      <c r="A196">
        <v>195</v>
      </c>
      <c r="B196" t="s">
        <v>341</v>
      </c>
      <c r="C196" s="1">
        <v>45791</v>
      </c>
      <c r="D196" t="s">
        <v>538</v>
      </c>
      <c r="E196" t="e">
        <v>#N/A</v>
      </c>
      <c r="F196" t="s">
        <v>11</v>
      </c>
      <c r="G196" s="2">
        <v>52.44</v>
      </c>
      <c r="H196" t="s">
        <v>29</v>
      </c>
      <c r="I196" t="s">
        <v>541</v>
      </c>
      <c r="J196" s="2">
        <v>-80.44</v>
      </c>
      <c r="K196" s="6" t="str">
        <f>I196&amp;J196</f>
        <v>8.0202429750846X50X00.SI415594X82800-80.44</v>
      </c>
      <c r="L196" s="4" t="str">
        <f>IF(COUNTIF(D:D,D196)&gt;1,"D","N")</f>
        <v>D</v>
      </c>
      <c r="M196" s="4">
        <f>COUNTIFS(D:D,D196,F:F,"UPDATED")</f>
        <v>0</v>
      </c>
      <c r="N196" s="4">
        <f>COUNTIFS(D:D,D196,F:F,"NOT UPDATED")</f>
        <v>7</v>
      </c>
      <c r="O196" s="4">
        <f>COUNTIF(D:D,D196)</f>
        <v>7</v>
      </c>
    </row>
    <row r="197" spans="1:15" hidden="1" x14ac:dyDescent="0.25">
      <c r="A197">
        <v>196</v>
      </c>
      <c r="B197" t="s">
        <v>341</v>
      </c>
      <c r="C197" s="1">
        <v>45791</v>
      </c>
      <c r="D197" t="s">
        <v>538</v>
      </c>
      <c r="E197" t="e">
        <v>#N/A</v>
      </c>
      <c r="F197" t="s">
        <v>11</v>
      </c>
      <c r="G197" s="2">
        <v>52.44</v>
      </c>
      <c r="H197" t="s">
        <v>29</v>
      </c>
      <c r="I197" t="s">
        <v>542</v>
      </c>
      <c r="J197" s="2">
        <v>-67.459999999999994</v>
      </c>
      <c r="K197" s="6" t="str">
        <f>I197&amp;J197</f>
        <v>8.0202433850T81930X00.SI444117X36068-67.46</v>
      </c>
      <c r="L197" s="4" t="str">
        <f>IF(COUNTIF(D:D,D197)&gt;1,"D","N")</f>
        <v>D</v>
      </c>
      <c r="M197" s="4">
        <f>COUNTIFS(D:D,D197,F:F,"UPDATED")</f>
        <v>0</v>
      </c>
      <c r="N197" s="4">
        <f>COUNTIFS(D:D,D197,F:F,"NOT UPDATED")</f>
        <v>7</v>
      </c>
      <c r="O197" s="4">
        <f>COUNTIF(D:D,D197)</f>
        <v>7</v>
      </c>
    </row>
    <row r="198" spans="1:15" hidden="1" x14ac:dyDescent="0.25">
      <c r="A198">
        <v>197</v>
      </c>
      <c r="B198" t="s">
        <v>341</v>
      </c>
      <c r="C198" s="1">
        <v>45791</v>
      </c>
      <c r="D198" t="s">
        <v>538</v>
      </c>
      <c r="E198" t="e">
        <v>#N/A</v>
      </c>
      <c r="F198" t="s">
        <v>11</v>
      </c>
      <c r="G198" s="2">
        <v>52.44</v>
      </c>
      <c r="H198" t="s">
        <v>29</v>
      </c>
      <c r="I198" t="s">
        <v>543</v>
      </c>
      <c r="J198" s="2">
        <v>-86.03</v>
      </c>
      <c r="K198" s="6" t="str">
        <f>I198&amp;J198</f>
        <v>8.020243375097Y120X00.SI443351X96690-86.03</v>
      </c>
      <c r="L198" s="4" t="str">
        <f>IF(COUNTIF(D:D,D198)&gt;1,"D","N")</f>
        <v>D</v>
      </c>
      <c r="M198" s="4">
        <f>COUNTIFS(D:D,D198,F:F,"UPDATED")</f>
        <v>0</v>
      </c>
      <c r="N198" s="4">
        <f>COUNTIFS(D:D,D198,F:F,"NOT UPDATED")</f>
        <v>7</v>
      </c>
      <c r="O198" s="4">
        <f>COUNTIF(D:D,D198)</f>
        <v>7</v>
      </c>
    </row>
    <row r="199" spans="1:15" hidden="1" x14ac:dyDescent="0.25">
      <c r="A199">
        <v>198</v>
      </c>
      <c r="B199" t="s">
        <v>341</v>
      </c>
      <c r="C199" s="1">
        <v>45791</v>
      </c>
      <c r="D199" t="s">
        <v>538</v>
      </c>
      <c r="E199" t="e">
        <v>#N/A</v>
      </c>
      <c r="F199" t="s">
        <v>11</v>
      </c>
      <c r="G199" s="2">
        <v>52.44</v>
      </c>
      <c r="H199" t="s">
        <v>29</v>
      </c>
      <c r="I199" t="s">
        <v>544</v>
      </c>
      <c r="J199" s="2">
        <v>-162.05000000000001</v>
      </c>
      <c r="K199" s="6" t="str">
        <f>I199&amp;J199</f>
        <v>8.02024339500724H0X00.SI445149X16966-162.05</v>
      </c>
      <c r="L199" s="4" t="str">
        <f>IF(COUNTIF(D:D,D199)&gt;1,"D","N")</f>
        <v>D</v>
      </c>
      <c r="M199" s="4">
        <f>COUNTIFS(D:D,D199,F:F,"UPDATED")</f>
        <v>0</v>
      </c>
      <c r="N199" s="4">
        <f>COUNTIFS(D:D,D199,F:F,"NOT UPDATED")</f>
        <v>7</v>
      </c>
      <c r="O199" s="4">
        <f>COUNTIF(D:D,D199)</f>
        <v>7</v>
      </c>
    </row>
    <row r="200" spans="1:15" hidden="1" x14ac:dyDescent="0.25">
      <c r="A200">
        <v>199</v>
      </c>
      <c r="B200" t="s">
        <v>341</v>
      </c>
      <c r="C200" s="1">
        <v>45791</v>
      </c>
      <c r="D200" t="s">
        <v>538</v>
      </c>
      <c r="E200" t="e">
        <v>#N/A</v>
      </c>
      <c r="F200" t="s">
        <v>11</v>
      </c>
      <c r="G200" s="2">
        <v>52.44</v>
      </c>
      <c r="H200" t="s">
        <v>29</v>
      </c>
      <c r="I200" t="s">
        <v>545</v>
      </c>
      <c r="J200" s="2">
        <v>-143.4</v>
      </c>
      <c r="K200" s="6" t="str">
        <f>I200&amp;J200</f>
        <v>8.020243445089D160X00.SI447602X34019-143.4</v>
      </c>
      <c r="L200" s="4" t="str">
        <f>IF(COUNTIF(D:D,D200)&gt;1,"D","N")</f>
        <v>D</v>
      </c>
      <c r="M200" s="4">
        <f>COUNTIFS(D:D,D200,F:F,"UPDATED")</f>
        <v>0</v>
      </c>
      <c r="N200" s="4">
        <f>COUNTIFS(D:D,D200,F:F,"NOT UPDATED")</f>
        <v>7</v>
      </c>
      <c r="O200" s="4">
        <f>COUNTIF(D:D,D200)</f>
        <v>7</v>
      </c>
    </row>
    <row r="201" spans="1:15" hidden="1" x14ac:dyDescent="0.25">
      <c r="A201">
        <v>200</v>
      </c>
      <c r="B201" t="s">
        <v>341</v>
      </c>
      <c r="C201" s="1">
        <v>45791</v>
      </c>
      <c r="D201" t="s">
        <v>546</v>
      </c>
      <c r="E201" t="e">
        <v>#N/A</v>
      </c>
      <c r="F201" t="s">
        <v>11</v>
      </c>
      <c r="G201" s="2">
        <v>50</v>
      </c>
      <c r="H201" t="s">
        <v>15</v>
      </c>
      <c r="I201" t="s">
        <v>547</v>
      </c>
      <c r="J201" s="2">
        <v>66.94</v>
      </c>
      <c r="K201" s="6" t="str">
        <f>I201&amp;J201</f>
        <v>02024228506B6500X.SI376950X6961766.94</v>
      </c>
      <c r="L201" s="4" t="str">
        <f>IF(COUNTIF(D:D,D201)&gt;1,"D","N")</f>
        <v>D</v>
      </c>
      <c r="M201" s="4">
        <f>COUNTIFS(D:D,D201,F:F,"UPDATED")</f>
        <v>0</v>
      </c>
      <c r="N201" s="4">
        <f>COUNTIFS(D:D,D201,F:F,"NOT UPDATED")</f>
        <v>10</v>
      </c>
      <c r="O201" s="4">
        <f>COUNTIF(D:D,D201)</f>
        <v>10</v>
      </c>
    </row>
    <row r="202" spans="1:15" hidden="1" x14ac:dyDescent="0.25">
      <c r="A202">
        <v>201</v>
      </c>
      <c r="B202" t="s">
        <v>341</v>
      </c>
      <c r="C202" s="1">
        <v>45791</v>
      </c>
      <c r="D202" t="s">
        <v>546</v>
      </c>
      <c r="E202" t="e">
        <v>#N/A</v>
      </c>
      <c r="F202" t="s">
        <v>11</v>
      </c>
      <c r="G202" s="2">
        <v>50</v>
      </c>
      <c r="H202" t="s">
        <v>15</v>
      </c>
      <c r="I202" t="s">
        <v>518</v>
      </c>
      <c r="J202" s="2">
        <v>30.93</v>
      </c>
      <c r="K202" s="6" t="str">
        <f>I202&amp;J202</f>
        <v>02024226500515U0X.SI375647X1565830.93</v>
      </c>
      <c r="L202" s="4" t="str">
        <f>IF(COUNTIF(D:D,D202)&gt;1,"D","N")</f>
        <v>D</v>
      </c>
      <c r="M202" s="4">
        <f>COUNTIFS(D:D,D202,F:F,"UPDATED")</f>
        <v>0</v>
      </c>
      <c r="N202" s="4">
        <f>COUNTIFS(D:D,D202,F:F,"NOT UPDATED")</f>
        <v>10</v>
      </c>
      <c r="O202" s="4">
        <f>COUNTIF(D:D,D202)</f>
        <v>10</v>
      </c>
    </row>
    <row r="203" spans="1:15" hidden="1" x14ac:dyDescent="0.25">
      <c r="A203">
        <v>202</v>
      </c>
      <c r="B203" t="s">
        <v>341</v>
      </c>
      <c r="C203" s="1">
        <v>45791</v>
      </c>
      <c r="D203" t="s">
        <v>546</v>
      </c>
      <c r="E203" t="e">
        <v>#N/A</v>
      </c>
      <c r="F203" t="s">
        <v>11</v>
      </c>
      <c r="G203" s="2">
        <v>50</v>
      </c>
      <c r="H203" t="s">
        <v>29</v>
      </c>
      <c r="I203" t="s">
        <v>548</v>
      </c>
      <c r="J203" s="2">
        <v>-125.75</v>
      </c>
      <c r="K203" s="6" t="str">
        <f>I203&amp;J203</f>
        <v>0202427550131A30X00.SI407285X16020-125.75</v>
      </c>
      <c r="L203" s="4" t="str">
        <f>IF(COUNTIF(D:D,D203)&gt;1,"D","N")</f>
        <v>D</v>
      </c>
      <c r="M203" s="4">
        <f>COUNTIFS(D:D,D203,F:F,"UPDATED")</f>
        <v>0</v>
      </c>
      <c r="N203" s="4">
        <f>COUNTIFS(D:D,D203,F:F,"NOT UPDATED")</f>
        <v>10</v>
      </c>
      <c r="O203" s="4">
        <f>COUNTIF(D:D,D203)</f>
        <v>10</v>
      </c>
    </row>
    <row r="204" spans="1:15" hidden="1" x14ac:dyDescent="0.25">
      <c r="A204">
        <v>203</v>
      </c>
      <c r="B204" t="s">
        <v>341</v>
      </c>
      <c r="C204" s="1">
        <v>45791</v>
      </c>
      <c r="D204" t="s">
        <v>546</v>
      </c>
      <c r="E204" t="e">
        <v>#N/A</v>
      </c>
      <c r="F204" t="s">
        <v>11</v>
      </c>
      <c r="G204" s="2">
        <v>50</v>
      </c>
      <c r="H204" t="s">
        <v>29</v>
      </c>
      <c r="I204" t="s">
        <v>549</v>
      </c>
      <c r="J204" s="2">
        <v>-76.430000000000007</v>
      </c>
      <c r="K204" s="6" t="str">
        <f>I204&amp;J204</f>
        <v>0202427550342A80X00.SI407049X38519-76.43</v>
      </c>
      <c r="L204" s="4" t="str">
        <f>IF(COUNTIF(D:D,D204)&gt;1,"D","N")</f>
        <v>D</v>
      </c>
      <c r="M204" s="4">
        <f>COUNTIFS(D:D,D204,F:F,"UPDATED")</f>
        <v>0</v>
      </c>
      <c r="N204" s="4">
        <f>COUNTIFS(D:D,D204,F:F,"NOT UPDATED")</f>
        <v>10</v>
      </c>
      <c r="O204" s="4">
        <f>COUNTIF(D:D,D204)</f>
        <v>10</v>
      </c>
    </row>
    <row r="205" spans="1:15" hidden="1" x14ac:dyDescent="0.25">
      <c r="A205">
        <v>204</v>
      </c>
      <c r="B205" t="s">
        <v>341</v>
      </c>
      <c r="C205" s="1">
        <v>45791</v>
      </c>
      <c r="D205" t="s">
        <v>546</v>
      </c>
      <c r="E205" t="e">
        <v>#N/A</v>
      </c>
      <c r="F205" t="s">
        <v>11</v>
      </c>
      <c r="G205" s="2">
        <v>50</v>
      </c>
      <c r="H205" t="s">
        <v>29</v>
      </c>
      <c r="I205" t="s">
        <v>550</v>
      </c>
      <c r="J205" s="2">
        <v>-134.06</v>
      </c>
      <c r="K205" s="6" t="str">
        <f>I205&amp;J205</f>
        <v>8.020242925044S670X00.SI418360X71661-134.06</v>
      </c>
      <c r="L205" s="4" t="str">
        <f>IF(COUNTIF(D:D,D205)&gt;1,"D","N")</f>
        <v>D</v>
      </c>
      <c r="M205" s="4">
        <f>COUNTIFS(D:D,D205,F:F,"UPDATED")</f>
        <v>0</v>
      </c>
      <c r="N205" s="4">
        <f>COUNTIFS(D:D,D205,F:F,"NOT UPDATED")</f>
        <v>10</v>
      </c>
      <c r="O205" s="4">
        <f>COUNTIF(D:D,D205)</f>
        <v>10</v>
      </c>
    </row>
    <row r="206" spans="1:15" hidden="1" x14ac:dyDescent="0.25">
      <c r="A206">
        <v>205</v>
      </c>
      <c r="B206" t="s">
        <v>341</v>
      </c>
      <c r="C206" s="1">
        <v>45791</v>
      </c>
      <c r="D206" t="s">
        <v>546</v>
      </c>
      <c r="E206" t="e">
        <v>#N/A</v>
      </c>
      <c r="F206" t="s">
        <v>11</v>
      </c>
      <c r="G206" s="2">
        <v>50</v>
      </c>
      <c r="H206" t="s">
        <v>29</v>
      </c>
      <c r="I206" t="s">
        <v>551</v>
      </c>
      <c r="J206" s="2">
        <v>-46.96</v>
      </c>
      <c r="K206" s="6" t="str">
        <f>I206&amp;J206</f>
        <v>8.02024312500220Q0X00.SI429119X88522-46.96</v>
      </c>
      <c r="L206" s="4" t="str">
        <f>IF(COUNTIF(D:D,D206)&gt;1,"D","N")</f>
        <v>D</v>
      </c>
      <c r="M206" s="4">
        <f>COUNTIFS(D:D,D206,F:F,"UPDATED")</f>
        <v>0</v>
      </c>
      <c r="N206" s="4">
        <f>COUNTIFS(D:D,D206,F:F,"NOT UPDATED")</f>
        <v>10</v>
      </c>
      <c r="O206" s="4">
        <f>COUNTIF(D:D,D206)</f>
        <v>10</v>
      </c>
    </row>
    <row r="207" spans="1:15" hidden="1" x14ac:dyDescent="0.25">
      <c r="A207">
        <v>206</v>
      </c>
      <c r="B207" t="s">
        <v>341</v>
      </c>
      <c r="C207" s="1">
        <v>45791</v>
      </c>
      <c r="D207" t="s">
        <v>546</v>
      </c>
      <c r="E207" t="e">
        <v>#N/A</v>
      </c>
      <c r="F207" t="s">
        <v>11</v>
      </c>
      <c r="G207" s="2">
        <v>50</v>
      </c>
      <c r="H207" t="s">
        <v>29</v>
      </c>
      <c r="I207" t="s">
        <v>552</v>
      </c>
      <c r="J207" s="2">
        <v>-122.89</v>
      </c>
      <c r="K207" s="6" t="str">
        <f>I207&amp;J207</f>
        <v>8.0202423250T55630X01.SI367243X86641-122.89</v>
      </c>
      <c r="L207" s="4" t="str">
        <f>IF(COUNTIF(D:D,D207)&gt;1,"D","N")</f>
        <v>D</v>
      </c>
      <c r="M207" s="4">
        <f>COUNTIFS(D:D,D207,F:F,"UPDATED")</f>
        <v>0</v>
      </c>
      <c r="N207" s="4">
        <f>COUNTIFS(D:D,D207,F:F,"NOT UPDATED")</f>
        <v>10</v>
      </c>
      <c r="O207" s="4">
        <f>COUNTIF(D:D,D207)</f>
        <v>10</v>
      </c>
    </row>
    <row r="208" spans="1:15" hidden="1" x14ac:dyDescent="0.25">
      <c r="A208">
        <v>207</v>
      </c>
      <c r="B208" t="s">
        <v>341</v>
      </c>
      <c r="C208" s="1">
        <v>45791</v>
      </c>
      <c r="D208" t="s">
        <v>546</v>
      </c>
      <c r="E208" t="e">
        <v>#N/A</v>
      </c>
      <c r="F208" t="s">
        <v>11</v>
      </c>
      <c r="G208" s="2">
        <v>50</v>
      </c>
      <c r="H208" t="s">
        <v>29</v>
      </c>
      <c r="I208" t="s">
        <v>553</v>
      </c>
      <c r="J208" s="2">
        <v>-109.06</v>
      </c>
      <c r="K208" s="6" t="str">
        <f>I208&amp;J208</f>
        <v>8.020243125038Z540X00.SI427563X87792-109.06</v>
      </c>
      <c r="L208" s="4" t="str">
        <f>IF(COUNTIF(D:D,D208)&gt;1,"D","N")</f>
        <v>D</v>
      </c>
      <c r="M208" s="4">
        <f>COUNTIFS(D:D,D208,F:F,"UPDATED")</f>
        <v>0</v>
      </c>
      <c r="N208" s="4">
        <f>COUNTIFS(D:D,D208,F:F,"NOT UPDATED")</f>
        <v>10</v>
      </c>
      <c r="O208" s="4">
        <f>COUNTIF(D:D,D208)</f>
        <v>10</v>
      </c>
    </row>
    <row r="209" spans="1:15" hidden="1" x14ac:dyDescent="0.25">
      <c r="A209">
        <v>208</v>
      </c>
      <c r="B209" t="s">
        <v>341</v>
      </c>
      <c r="C209" s="1">
        <v>45791</v>
      </c>
      <c r="D209" t="s">
        <v>546</v>
      </c>
      <c r="E209" t="e">
        <v>#N/A</v>
      </c>
      <c r="F209" t="s">
        <v>11</v>
      </c>
      <c r="G209" s="2">
        <v>50</v>
      </c>
      <c r="H209" t="s">
        <v>29</v>
      </c>
      <c r="I209" t="s">
        <v>554</v>
      </c>
      <c r="J209" s="2">
        <v>-208.21</v>
      </c>
      <c r="K209" s="6" t="str">
        <f>I209&amp;J209</f>
        <v>8.0202427750K70270X00.SI408804X9662-208.21</v>
      </c>
      <c r="L209" s="4" t="str">
        <f>IF(COUNTIF(D:D,D209)&gt;1,"D","N")</f>
        <v>D</v>
      </c>
      <c r="M209" s="4">
        <f>COUNTIFS(D:D,D209,F:F,"UPDATED")</f>
        <v>0</v>
      </c>
      <c r="N209" s="4">
        <f>COUNTIFS(D:D,D209,F:F,"NOT UPDATED")</f>
        <v>10</v>
      </c>
      <c r="O209" s="4">
        <f>COUNTIF(D:D,D209)</f>
        <v>10</v>
      </c>
    </row>
    <row r="210" spans="1:15" hidden="1" x14ac:dyDescent="0.25">
      <c r="A210">
        <v>209</v>
      </c>
      <c r="B210" t="s">
        <v>341</v>
      </c>
      <c r="C210" s="1">
        <v>45791</v>
      </c>
      <c r="D210" t="s">
        <v>546</v>
      </c>
      <c r="E210" t="e">
        <v>#N/A</v>
      </c>
      <c r="F210" t="s">
        <v>11</v>
      </c>
      <c r="G210" s="2">
        <v>50</v>
      </c>
      <c r="H210" t="s">
        <v>29</v>
      </c>
      <c r="I210" t="s">
        <v>555</v>
      </c>
      <c r="J210" s="2">
        <v>-152.87</v>
      </c>
      <c r="K210" s="6" t="str">
        <f>I210&amp;J210</f>
        <v>8.02024309505U9680X00.SI427505X45894-152.87</v>
      </c>
      <c r="L210" s="4" t="str">
        <f>IF(COUNTIF(D:D,D210)&gt;1,"D","N")</f>
        <v>D</v>
      </c>
      <c r="M210" s="4">
        <f>COUNTIFS(D:D,D210,F:F,"UPDATED")</f>
        <v>0</v>
      </c>
      <c r="N210" s="4">
        <f>COUNTIFS(D:D,D210,F:F,"NOT UPDATED")</f>
        <v>10</v>
      </c>
      <c r="O210" s="4">
        <f>COUNTIF(D:D,D210)</f>
        <v>10</v>
      </c>
    </row>
    <row r="211" spans="1:15" hidden="1" x14ac:dyDescent="0.25">
      <c r="A211">
        <v>210</v>
      </c>
      <c r="B211" t="s">
        <v>341</v>
      </c>
      <c r="C211" s="1">
        <v>45791</v>
      </c>
      <c r="D211" t="s">
        <v>556</v>
      </c>
      <c r="E211" t="e">
        <v>#N/A</v>
      </c>
      <c r="F211" t="s">
        <v>11</v>
      </c>
      <c r="G211" s="2">
        <v>0</v>
      </c>
      <c r="H211" t="s">
        <v>194</v>
      </c>
      <c r="I211" t="s">
        <v>557</v>
      </c>
      <c r="J211" s="2">
        <v>-41.69</v>
      </c>
      <c r="K211" s="6" t="str">
        <f>I211&amp;J211</f>
        <v>02024274504002V0X00.SI406251X67844-41.69</v>
      </c>
      <c r="L211" s="4" t="str">
        <f>IF(COUNTIF(D:D,D211)&gt;1,"D","N")</f>
        <v>D</v>
      </c>
      <c r="M211" s="4">
        <f>COUNTIFS(D:D,D211,F:F,"UPDATED")</f>
        <v>0</v>
      </c>
      <c r="N211" s="4">
        <f>COUNTIFS(D:D,D211,F:F,"NOT UPDATED")</f>
        <v>4</v>
      </c>
      <c r="O211" s="4">
        <f>COUNTIF(D:D,D211)</f>
        <v>4</v>
      </c>
    </row>
    <row r="212" spans="1:15" hidden="1" x14ac:dyDescent="0.25">
      <c r="A212">
        <v>211</v>
      </c>
      <c r="B212" t="s">
        <v>341</v>
      </c>
      <c r="C212" s="1">
        <v>45791</v>
      </c>
      <c r="D212" t="s">
        <v>556</v>
      </c>
      <c r="E212" t="e">
        <v>#N/A</v>
      </c>
      <c r="F212" t="s">
        <v>11</v>
      </c>
      <c r="G212" s="2">
        <v>0</v>
      </c>
      <c r="H212" t="s">
        <v>29</v>
      </c>
      <c r="I212" t="s">
        <v>558</v>
      </c>
      <c r="J212" s="2">
        <v>-75.83</v>
      </c>
      <c r="K212" s="6" t="str">
        <f>I212&amp;J212</f>
        <v>8.0202428850444S70X00.SI415532X61210-75.83</v>
      </c>
      <c r="L212" s="4" t="str">
        <f>IF(COUNTIF(D:D,D212)&gt;1,"D","N")</f>
        <v>D</v>
      </c>
      <c r="M212" s="4">
        <f>COUNTIFS(D:D,D212,F:F,"UPDATED")</f>
        <v>0</v>
      </c>
      <c r="N212" s="4">
        <f>COUNTIFS(D:D,D212,F:F,"NOT UPDATED")</f>
        <v>4</v>
      </c>
      <c r="O212" s="4">
        <f>COUNTIF(D:D,D212)</f>
        <v>4</v>
      </c>
    </row>
    <row r="213" spans="1:15" hidden="1" x14ac:dyDescent="0.25">
      <c r="A213">
        <v>212</v>
      </c>
      <c r="B213" t="s">
        <v>341</v>
      </c>
      <c r="C213" s="1">
        <v>45791</v>
      </c>
      <c r="D213" t="s">
        <v>556</v>
      </c>
      <c r="E213" t="e">
        <v>#N/A</v>
      </c>
      <c r="F213" t="s">
        <v>11</v>
      </c>
      <c r="G213" s="2">
        <v>0</v>
      </c>
      <c r="H213" t="s">
        <v>29</v>
      </c>
      <c r="I213" t="s">
        <v>559</v>
      </c>
      <c r="J213" s="2">
        <v>-178.93</v>
      </c>
      <c r="K213" s="6" t="str">
        <f>I213&amp;J213</f>
        <v>8.0202429754733220X00.SI420613X94305-178.93</v>
      </c>
      <c r="L213" s="4" t="str">
        <f>IF(COUNTIF(D:D,D213)&gt;1,"D","N")</f>
        <v>D</v>
      </c>
      <c r="M213" s="4">
        <f>COUNTIFS(D:D,D213,F:F,"UPDATED")</f>
        <v>0</v>
      </c>
      <c r="N213" s="4">
        <f>COUNTIFS(D:D,D213,F:F,"NOT UPDATED")</f>
        <v>4</v>
      </c>
      <c r="O213" s="4">
        <f>COUNTIF(D:D,D213)</f>
        <v>4</v>
      </c>
    </row>
    <row r="214" spans="1:15" hidden="1" x14ac:dyDescent="0.25">
      <c r="A214">
        <v>213</v>
      </c>
      <c r="B214" t="s">
        <v>341</v>
      </c>
      <c r="C214" s="1">
        <v>45791</v>
      </c>
      <c r="D214" t="s">
        <v>556</v>
      </c>
      <c r="E214" t="e">
        <v>#N/A</v>
      </c>
      <c r="F214" t="s">
        <v>11</v>
      </c>
      <c r="G214" s="2">
        <v>0</v>
      </c>
      <c r="H214" t="s">
        <v>29</v>
      </c>
      <c r="I214" t="s">
        <v>560</v>
      </c>
      <c r="J214" s="2">
        <v>-250.94</v>
      </c>
      <c r="K214" s="6" t="str">
        <f>I214&amp;J214</f>
        <v>8.02024274504002V0X00.SI406251X67844-250.94</v>
      </c>
      <c r="L214" s="4" t="str">
        <f>IF(COUNTIF(D:D,D214)&gt;1,"D","N")</f>
        <v>D</v>
      </c>
      <c r="M214" s="4">
        <f>COUNTIFS(D:D,D214,F:F,"UPDATED")</f>
        <v>0</v>
      </c>
      <c r="N214" s="4">
        <f>COUNTIFS(D:D,D214,F:F,"NOT UPDATED")</f>
        <v>4</v>
      </c>
      <c r="O214" s="4">
        <f>COUNTIF(D:D,D214)</f>
        <v>4</v>
      </c>
    </row>
    <row r="215" spans="1:15" hidden="1" x14ac:dyDescent="0.25">
      <c r="A215">
        <v>214</v>
      </c>
      <c r="B215" t="s">
        <v>71</v>
      </c>
      <c r="C215" s="1">
        <v>45791</v>
      </c>
      <c r="D215">
        <v>159008467250515</v>
      </c>
      <c r="E215">
        <v>159008467250515</v>
      </c>
      <c r="F215" t="s">
        <v>339</v>
      </c>
      <c r="G215" s="2">
        <v>229.57</v>
      </c>
      <c r="H215" t="s">
        <v>15</v>
      </c>
      <c r="I215" t="s">
        <v>561</v>
      </c>
      <c r="J215" s="2">
        <v>286.08</v>
      </c>
      <c r="K215" s="6" t="str">
        <f>I215&amp;J215</f>
        <v>PSI411864X54545/820242950243870286.08</v>
      </c>
      <c r="L215" s="4" t="str">
        <f>IF(COUNTIF(D:D,D215)&gt;1,"D","N")</f>
        <v>N</v>
      </c>
      <c r="M215" s="4">
        <f>COUNTIFS(D:D,D215,F:F,"UPDATED")</f>
        <v>1</v>
      </c>
      <c r="N215" s="4">
        <f>COUNTIFS(D:D,D215,F:F,"NOT UPDATED")</f>
        <v>0</v>
      </c>
      <c r="O215" s="4">
        <f>COUNTIF(D:D,D215)</f>
        <v>1</v>
      </c>
    </row>
    <row r="216" spans="1:15" hidden="1" x14ac:dyDescent="0.25">
      <c r="A216">
        <v>215</v>
      </c>
      <c r="B216" t="s">
        <v>10</v>
      </c>
      <c r="C216" s="1">
        <v>45791</v>
      </c>
      <c r="D216">
        <v>800481978</v>
      </c>
      <c r="E216" t="e">
        <v>#N/A</v>
      </c>
      <c r="F216" t="s">
        <v>11</v>
      </c>
      <c r="G216" s="2">
        <v>20751.63</v>
      </c>
      <c r="H216" t="s">
        <v>15</v>
      </c>
      <c r="I216" t="s">
        <v>562</v>
      </c>
      <c r="J216" s="2">
        <v>171.01</v>
      </c>
      <c r="K216" s="6" t="str">
        <f>I216&amp;J216</f>
        <v>SI369322X20659171.01</v>
      </c>
      <c r="L216" s="4" t="str">
        <f>IF(COUNTIF(D:D,D216)&gt;1,"D","N")</f>
        <v>N</v>
      </c>
      <c r="M216" s="4">
        <f>COUNTIFS(D:D,D216,F:F,"UPDATED")</f>
        <v>0</v>
      </c>
      <c r="N216" s="4">
        <f>COUNTIFS(D:D,D216,F:F,"NOT UPDATED")</f>
        <v>1</v>
      </c>
      <c r="O216" s="4">
        <f>COUNTIF(D:D,D216)</f>
        <v>1</v>
      </c>
    </row>
    <row r="217" spans="1:15" hidden="1" x14ac:dyDescent="0.25">
      <c r="A217">
        <v>216</v>
      </c>
      <c r="B217" t="s">
        <v>111</v>
      </c>
      <c r="C217" s="1">
        <v>45791</v>
      </c>
      <c r="D217" t="s">
        <v>563</v>
      </c>
      <c r="E217" t="s">
        <v>563</v>
      </c>
      <c r="F217" t="s">
        <v>339</v>
      </c>
      <c r="G217" t="s">
        <v>564</v>
      </c>
      <c r="H217">
        <v>72</v>
      </c>
      <c r="I217" t="s">
        <v>565</v>
      </c>
      <c r="J217" s="2">
        <v>-62.28</v>
      </c>
      <c r="K217" s="6" t="str">
        <f>I217&amp;J217</f>
        <v>20230413 SI134272X28077-62.28</v>
      </c>
      <c r="L217" s="4" t="str">
        <f>IF(COUNTIF(D:D,D217)&gt;1,"D","N")</f>
        <v>D</v>
      </c>
      <c r="M217" s="4">
        <f>COUNTIFS(D:D,D217,F:F,"UPDATED")</f>
        <v>6</v>
      </c>
      <c r="N217" s="4">
        <f>COUNTIFS(D:D,D217,F:F,"NOT UPDATED")</f>
        <v>0</v>
      </c>
      <c r="O217" s="4">
        <f>COUNTIF(D:D,D217)</f>
        <v>6</v>
      </c>
    </row>
    <row r="218" spans="1:15" hidden="1" x14ac:dyDescent="0.25">
      <c r="A218">
        <v>217</v>
      </c>
      <c r="B218" t="s">
        <v>111</v>
      </c>
      <c r="C218" s="1">
        <v>45791</v>
      </c>
      <c r="D218" t="s">
        <v>563</v>
      </c>
      <c r="E218" t="s">
        <v>563</v>
      </c>
      <c r="F218" t="s">
        <v>339</v>
      </c>
      <c r="G218" t="s">
        <v>564</v>
      </c>
      <c r="H218">
        <v>72</v>
      </c>
      <c r="I218" t="s">
        <v>566</v>
      </c>
      <c r="J218" s="2">
        <v>-87.97</v>
      </c>
      <c r="K218" s="6" t="str">
        <f>I218&amp;J218</f>
        <v>20230502 SI142298X28077-87.97</v>
      </c>
      <c r="L218" s="4" t="str">
        <f>IF(COUNTIF(D:D,D218)&gt;1,"D","N")</f>
        <v>D</v>
      </c>
      <c r="M218" s="4">
        <f>COUNTIFS(D:D,D218,F:F,"UPDATED")</f>
        <v>6</v>
      </c>
      <c r="N218" s="4">
        <f>COUNTIFS(D:D,D218,F:F,"NOT UPDATED")</f>
        <v>0</v>
      </c>
      <c r="O218" s="4">
        <f>COUNTIF(D:D,D218)</f>
        <v>6</v>
      </c>
    </row>
    <row r="219" spans="1:15" hidden="1" x14ac:dyDescent="0.25">
      <c r="A219">
        <v>218</v>
      </c>
      <c r="B219" t="s">
        <v>111</v>
      </c>
      <c r="C219" s="1">
        <v>45791</v>
      </c>
      <c r="D219" t="s">
        <v>563</v>
      </c>
      <c r="E219" t="s">
        <v>563</v>
      </c>
      <c r="F219" t="s">
        <v>339</v>
      </c>
      <c r="G219" t="s">
        <v>564</v>
      </c>
      <c r="H219">
        <v>72</v>
      </c>
      <c r="I219" t="s">
        <v>567</v>
      </c>
      <c r="J219" s="2">
        <v>-62.28</v>
      </c>
      <c r="K219" s="6" t="str">
        <f>I219&amp;J219</f>
        <v>20230530 SI153462X28077-62.28</v>
      </c>
      <c r="L219" s="4" t="str">
        <f>IF(COUNTIF(D:D,D219)&gt;1,"D","N")</f>
        <v>D</v>
      </c>
      <c r="M219" s="4">
        <f>COUNTIFS(D:D,D219,F:F,"UPDATED")</f>
        <v>6</v>
      </c>
      <c r="N219" s="4">
        <f>COUNTIFS(D:D,D219,F:F,"NOT UPDATED")</f>
        <v>0</v>
      </c>
      <c r="O219" s="4">
        <f>COUNTIF(D:D,D219)</f>
        <v>6</v>
      </c>
    </row>
    <row r="220" spans="1:15" hidden="1" x14ac:dyDescent="0.25">
      <c r="A220">
        <v>219</v>
      </c>
      <c r="B220" t="s">
        <v>111</v>
      </c>
      <c r="C220" s="1">
        <v>45791</v>
      </c>
      <c r="D220" t="s">
        <v>563</v>
      </c>
      <c r="E220" t="s">
        <v>563</v>
      </c>
      <c r="F220" t="s">
        <v>339</v>
      </c>
      <c r="G220" t="s">
        <v>564</v>
      </c>
      <c r="H220" t="s">
        <v>15</v>
      </c>
      <c r="I220" t="s">
        <v>565</v>
      </c>
      <c r="J220" s="2">
        <v>62.28</v>
      </c>
      <c r="K220" s="6" t="str">
        <f>I220&amp;J220</f>
        <v>20230413 SI134272X2807762.28</v>
      </c>
      <c r="L220" s="4" t="str">
        <f>IF(COUNTIF(D:D,D220)&gt;1,"D","N")</f>
        <v>D</v>
      </c>
      <c r="M220" s="4">
        <f>COUNTIFS(D:D,D220,F:F,"UPDATED")</f>
        <v>6</v>
      </c>
      <c r="N220" s="4">
        <f>COUNTIFS(D:D,D220,F:F,"NOT UPDATED")</f>
        <v>0</v>
      </c>
      <c r="O220" s="4">
        <f>COUNTIF(D:D,D220)</f>
        <v>6</v>
      </c>
    </row>
    <row r="221" spans="1:15" hidden="1" x14ac:dyDescent="0.25">
      <c r="A221">
        <v>220</v>
      </c>
      <c r="B221" t="s">
        <v>111</v>
      </c>
      <c r="C221" s="1">
        <v>45791</v>
      </c>
      <c r="D221" t="s">
        <v>563</v>
      </c>
      <c r="E221" t="s">
        <v>563</v>
      </c>
      <c r="F221" t="s">
        <v>339</v>
      </c>
      <c r="G221" t="s">
        <v>564</v>
      </c>
      <c r="H221" t="s">
        <v>15</v>
      </c>
      <c r="I221" t="s">
        <v>566</v>
      </c>
      <c r="J221" s="2">
        <v>87.97</v>
      </c>
      <c r="K221" s="6" t="str">
        <f>I221&amp;J221</f>
        <v>20230502 SI142298X2807787.97</v>
      </c>
      <c r="L221" s="4" t="str">
        <f>IF(COUNTIF(D:D,D221)&gt;1,"D","N")</f>
        <v>D</v>
      </c>
      <c r="M221" s="4">
        <f>COUNTIFS(D:D,D221,F:F,"UPDATED")</f>
        <v>6</v>
      </c>
      <c r="N221" s="4">
        <f>COUNTIFS(D:D,D221,F:F,"NOT UPDATED")</f>
        <v>0</v>
      </c>
      <c r="O221" s="4">
        <f>COUNTIF(D:D,D221)</f>
        <v>6</v>
      </c>
    </row>
    <row r="222" spans="1:15" hidden="1" x14ac:dyDescent="0.25">
      <c r="A222">
        <v>221</v>
      </c>
      <c r="B222" t="s">
        <v>111</v>
      </c>
      <c r="C222" s="1">
        <v>45791</v>
      </c>
      <c r="D222" t="s">
        <v>563</v>
      </c>
      <c r="E222" t="s">
        <v>563</v>
      </c>
      <c r="F222" t="s">
        <v>339</v>
      </c>
      <c r="G222" t="s">
        <v>564</v>
      </c>
      <c r="H222" t="s">
        <v>15</v>
      </c>
      <c r="I222" t="s">
        <v>567</v>
      </c>
      <c r="J222" s="2">
        <v>62.28</v>
      </c>
      <c r="K222" s="6" t="str">
        <f>I222&amp;J222</f>
        <v>20230530 SI153462X2807762.28</v>
      </c>
      <c r="L222" s="4" t="str">
        <f>IF(COUNTIF(D:D,D222)&gt;1,"D","N")</f>
        <v>D</v>
      </c>
      <c r="M222" s="4">
        <f>COUNTIFS(D:D,D222,F:F,"UPDATED")</f>
        <v>6</v>
      </c>
      <c r="N222" s="4">
        <f>COUNTIFS(D:D,D222,F:F,"NOT UPDATED")</f>
        <v>0</v>
      </c>
      <c r="O222" s="4">
        <f>COUNTIF(D:D,D222)</f>
        <v>6</v>
      </c>
    </row>
    <row r="223" spans="1:15" hidden="1" x14ac:dyDescent="0.25">
      <c r="A223">
        <v>222</v>
      </c>
      <c r="B223" t="s">
        <v>341</v>
      </c>
      <c r="C223" s="1">
        <v>45792</v>
      </c>
      <c r="D223" t="s">
        <v>568</v>
      </c>
      <c r="E223" t="e">
        <v>#N/A</v>
      </c>
      <c r="F223" t="s">
        <v>11</v>
      </c>
      <c r="G223" s="2">
        <v>9531.2000000000007</v>
      </c>
      <c r="H223" t="s">
        <v>29</v>
      </c>
      <c r="I223" t="s">
        <v>569</v>
      </c>
      <c r="J223" s="2">
        <v>-142.37</v>
      </c>
      <c r="K223" s="6" t="str">
        <f>I223&amp;J223</f>
        <v>0202504450A14090X00.SI485466X76163-142.37</v>
      </c>
      <c r="L223" s="4" t="str">
        <f>IF(COUNTIF(D:D,D223)&gt;1,"D","N")</f>
        <v>D</v>
      </c>
      <c r="M223" s="4">
        <f>COUNTIFS(D:D,D223,F:F,"UPDATED")</f>
        <v>0</v>
      </c>
      <c r="N223" s="4">
        <f>COUNTIFS(D:D,D223,F:F,"NOT UPDATED")</f>
        <v>3</v>
      </c>
      <c r="O223" s="4">
        <f>COUNTIF(D:D,D223)</f>
        <v>3</v>
      </c>
    </row>
    <row r="224" spans="1:15" hidden="1" x14ac:dyDescent="0.25">
      <c r="A224">
        <v>223</v>
      </c>
      <c r="B224" t="s">
        <v>341</v>
      </c>
      <c r="C224" s="1">
        <v>45792</v>
      </c>
      <c r="D224" t="s">
        <v>568</v>
      </c>
      <c r="E224" t="e">
        <v>#N/A</v>
      </c>
      <c r="F224" t="s">
        <v>11</v>
      </c>
      <c r="G224" s="2">
        <v>9531.2000000000007</v>
      </c>
      <c r="H224" t="s">
        <v>29</v>
      </c>
      <c r="I224" t="s">
        <v>570</v>
      </c>
      <c r="J224" s="2">
        <v>-129.27000000000001</v>
      </c>
      <c r="K224" s="6" t="str">
        <f>I224&amp;J224</f>
        <v>0202504450A25670X00.SI485469X76928-129.27</v>
      </c>
      <c r="L224" s="4" t="str">
        <f>IF(COUNTIF(D:D,D224)&gt;1,"D","N")</f>
        <v>D</v>
      </c>
      <c r="M224" s="4">
        <f>COUNTIFS(D:D,D224,F:F,"UPDATED")</f>
        <v>0</v>
      </c>
      <c r="N224" s="4">
        <f>COUNTIFS(D:D,D224,F:F,"NOT UPDATED")</f>
        <v>3</v>
      </c>
      <c r="O224" s="4">
        <f>COUNTIF(D:D,D224)</f>
        <v>3</v>
      </c>
    </row>
    <row r="225" spans="1:15" hidden="1" x14ac:dyDescent="0.25">
      <c r="A225">
        <v>224</v>
      </c>
      <c r="B225" t="s">
        <v>341</v>
      </c>
      <c r="C225" s="1">
        <v>45792</v>
      </c>
      <c r="D225" t="s">
        <v>568</v>
      </c>
      <c r="E225" t="e">
        <v>#N/A</v>
      </c>
      <c r="F225" t="s">
        <v>11</v>
      </c>
      <c r="G225" s="2">
        <v>9531.2000000000007</v>
      </c>
      <c r="H225" t="s">
        <v>29</v>
      </c>
      <c r="I225" t="s">
        <v>571</v>
      </c>
      <c r="J225" s="2">
        <v>-52.5</v>
      </c>
      <c r="K225" s="6" t="str">
        <f>I225&amp;J225</f>
        <v>0202509750728Y80X00.SI505769X102055-52.5</v>
      </c>
      <c r="L225" s="4" t="str">
        <f>IF(COUNTIF(D:D,D225)&gt;1,"D","N")</f>
        <v>D</v>
      </c>
      <c r="M225" s="4">
        <f>COUNTIFS(D:D,D225,F:F,"UPDATED")</f>
        <v>0</v>
      </c>
      <c r="N225" s="4">
        <f>COUNTIFS(D:D,D225,F:F,"NOT UPDATED")</f>
        <v>3</v>
      </c>
      <c r="O225" s="4">
        <f>COUNTIF(D:D,D225)</f>
        <v>3</v>
      </c>
    </row>
    <row r="226" spans="1:15" hidden="1" x14ac:dyDescent="0.25">
      <c r="A226">
        <v>225</v>
      </c>
      <c r="B226" t="s">
        <v>341</v>
      </c>
      <c r="C226" s="1">
        <v>45792</v>
      </c>
      <c r="D226" t="s">
        <v>572</v>
      </c>
      <c r="E226" t="e">
        <v>#N/A</v>
      </c>
      <c r="F226" t="s">
        <v>11</v>
      </c>
      <c r="G226" s="2">
        <v>0</v>
      </c>
      <c r="H226" t="s">
        <v>29</v>
      </c>
      <c r="I226" t="s">
        <v>573</v>
      </c>
      <c r="J226" s="2">
        <v>-87.14</v>
      </c>
      <c r="K226" s="6" t="str">
        <f>I226&amp;J226</f>
        <v>0202431750L28320X00.SI432580X88086-87.14</v>
      </c>
      <c r="L226" s="4" t="str">
        <f>IF(COUNTIF(D:D,D226)&gt;1,"D","N")</f>
        <v>N</v>
      </c>
      <c r="M226" s="4">
        <f>COUNTIFS(D:D,D226,F:F,"UPDATED")</f>
        <v>0</v>
      </c>
      <c r="N226" s="4">
        <f>COUNTIFS(D:D,D226,F:F,"NOT UPDATED")</f>
        <v>1</v>
      </c>
      <c r="O226" s="4">
        <f>COUNTIF(D:D,D226)</f>
        <v>1</v>
      </c>
    </row>
    <row r="227" spans="1:15" hidden="1" x14ac:dyDescent="0.25">
      <c r="A227">
        <v>226</v>
      </c>
      <c r="B227" t="s">
        <v>10</v>
      </c>
      <c r="C227" s="1">
        <v>45792</v>
      </c>
      <c r="D227">
        <v>800486011</v>
      </c>
      <c r="E227" t="e">
        <v>#N/A</v>
      </c>
      <c r="F227" t="s">
        <v>11</v>
      </c>
      <c r="G227" t="s">
        <v>574</v>
      </c>
      <c r="H227" t="s">
        <v>12</v>
      </c>
      <c r="I227" t="s">
        <v>575</v>
      </c>
      <c r="J227" s="2">
        <v>-105.55</v>
      </c>
      <c r="K227" s="6" t="str">
        <f>I227&amp;J227</f>
        <v>SI228068X66238-105.55</v>
      </c>
      <c r="L227" s="4" t="str">
        <f>IF(COUNTIF(D:D,D227)&gt;1,"D","N")</f>
        <v>N</v>
      </c>
      <c r="M227" s="4">
        <f>COUNTIFS(D:D,D227,F:F,"UPDATED")</f>
        <v>0</v>
      </c>
      <c r="N227" s="4">
        <f>COUNTIFS(D:D,D227,F:F,"NOT UPDATED")</f>
        <v>1</v>
      </c>
      <c r="O227" s="4">
        <f>COUNTIF(D:D,D227)</f>
        <v>1</v>
      </c>
    </row>
    <row r="228" spans="1:15" hidden="1" x14ac:dyDescent="0.25">
      <c r="A228">
        <v>227</v>
      </c>
      <c r="B228" t="s">
        <v>345</v>
      </c>
      <c r="C228" s="1">
        <v>45793</v>
      </c>
      <c r="D228">
        <v>882513201001025</v>
      </c>
      <c r="E228" t="e">
        <v>#N/A</v>
      </c>
      <c r="F228" t="s">
        <v>11</v>
      </c>
      <c r="G228" s="2">
        <v>6910.91</v>
      </c>
      <c r="H228" t="s">
        <v>15</v>
      </c>
      <c r="I228" t="s">
        <v>576</v>
      </c>
      <c r="J228" s="2">
        <v>-68.33</v>
      </c>
      <c r="K228" s="6" t="str">
        <f>I228&amp;J228</f>
        <v>EMJNNFHVN0001-SI532202X92246-2025-04-12-68.33</v>
      </c>
      <c r="L228" s="4" t="str">
        <f>IF(COUNTIF(D:D,D228)&gt;1,"D","N")</f>
        <v>N</v>
      </c>
      <c r="M228" s="4">
        <f>COUNTIFS(D:D,D228,F:F,"UPDATED")</f>
        <v>0</v>
      </c>
      <c r="N228" s="4">
        <f>COUNTIFS(D:D,D228,F:F,"NOT UPDATED")</f>
        <v>1</v>
      </c>
      <c r="O228" s="4">
        <f>COUNTIF(D:D,D228)</f>
        <v>1</v>
      </c>
    </row>
    <row r="229" spans="1:15" hidden="1" x14ac:dyDescent="0.25">
      <c r="A229">
        <v>228</v>
      </c>
      <c r="B229" t="s">
        <v>341</v>
      </c>
      <c r="C229" s="1">
        <v>45793</v>
      </c>
      <c r="D229" t="s">
        <v>577</v>
      </c>
      <c r="E229" t="s">
        <v>577</v>
      </c>
      <c r="F229" t="s">
        <v>339</v>
      </c>
      <c r="G229" s="2">
        <v>12439.12</v>
      </c>
      <c r="H229" t="s">
        <v>29</v>
      </c>
      <c r="I229" t="s">
        <v>578</v>
      </c>
      <c r="J229" s="2">
        <v>-115.38</v>
      </c>
      <c r="K229" s="6" t="str">
        <f>I229&amp;J229</f>
        <v>020250385061S040X00.SI482661X76928-115.38</v>
      </c>
      <c r="L229" s="4" t="str">
        <f>IF(COUNTIF(D:D,D229)&gt;1,"D","N")</f>
        <v>N</v>
      </c>
      <c r="M229" s="4">
        <f>COUNTIFS(D:D,D229,F:F,"UPDATED")</f>
        <v>1</v>
      </c>
      <c r="N229" s="4">
        <f>COUNTIFS(D:D,D229,F:F,"NOT UPDATED")</f>
        <v>0</v>
      </c>
      <c r="O229" s="4">
        <f>COUNTIF(D:D,D229)</f>
        <v>1</v>
      </c>
    </row>
    <row r="230" spans="1:15" x14ac:dyDescent="0.25">
      <c r="A230">
        <v>332</v>
      </c>
      <c r="B230" t="s">
        <v>345</v>
      </c>
      <c r="C230" s="1">
        <v>45800</v>
      </c>
      <c r="D230" t="s">
        <v>712</v>
      </c>
      <c r="E230" t="e">
        <v>#N/A</v>
      </c>
      <c r="F230" t="s">
        <v>11</v>
      </c>
      <c r="G230" s="2">
        <v>11557.6</v>
      </c>
      <c r="H230" t="s">
        <v>29</v>
      </c>
      <c r="I230" t="s">
        <v>714</v>
      </c>
      <c r="J230" s="2">
        <v>-95.17</v>
      </c>
      <c r="K230" s="6" t="str">
        <f>I230&amp;J230</f>
        <v>02025111506T6150X00.SI522855X105767-95.17</v>
      </c>
      <c r="L230" s="4" t="str">
        <f>IF(COUNTIF(D:D,D230)&gt;1,"D","N")</f>
        <v>D</v>
      </c>
      <c r="M230" s="4">
        <f>COUNTIFS(D:D,D230,F:F,"UPDATED")</f>
        <v>0</v>
      </c>
      <c r="N230" s="4">
        <f>COUNTIFS(D:D,D230,F:F,"NOT UPDATED")</f>
        <v>3</v>
      </c>
      <c r="O230" s="4">
        <f>COUNTIF(D:D,D230)</f>
        <v>3</v>
      </c>
    </row>
    <row r="231" spans="1:15" hidden="1" x14ac:dyDescent="0.25">
      <c r="A231">
        <v>230</v>
      </c>
      <c r="B231" t="s">
        <v>341</v>
      </c>
      <c r="C231" s="1">
        <v>45793</v>
      </c>
      <c r="D231" t="s">
        <v>579</v>
      </c>
      <c r="E231" t="s">
        <v>579</v>
      </c>
      <c r="F231" t="s">
        <v>339</v>
      </c>
      <c r="G231" s="2">
        <v>16840.86</v>
      </c>
      <c r="H231" t="s">
        <v>15</v>
      </c>
      <c r="I231" t="s">
        <v>580</v>
      </c>
      <c r="J231" s="2">
        <v>52.15</v>
      </c>
      <c r="K231" s="6" t="str">
        <f>I231&amp;J231</f>
        <v>020213265051W500X01.SP531650X437352.15</v>
      </c>
      <c r="L231" s="4" t="str">
        <f>IF(COUNTIF(D:D,D231)&gt;1,"D","N")</f>
        <v>D</v>
      </c>
      <c r="M231" s="4">
        <f>COUNTIFS(D:D,D231,F:F,"UPDATED")</f>
        <v>3</v>
      </c>
      <c r="N231" s="4">
        <f>COUNTIFS(D:D,D231,F:F,"NOT UPDATED")</f>
        <v>0</v>
      </c>
      <c r="O231" s="4">
        <f>COUNTIF(D:D,D231)</f>
        <v>3</v>
      </c>
    </row>
    <row r="232" spans="1:15" x14ac:dyDescent="0.25">
      <c r="A232">
        <v>368</v>
      </c>
      <c r="B232" t="s">
        <v>94</v>
      </c>
      <c r="C232" s="1">
        <v>45800</v>
      </c>
      <c r="D232" t="s">
        <v>743</v>
      </c>
      <c r="E232" t="e">
        <v>#N/A</v>
      </c>
      <c r="F232" t="s">
        <v>11</v>
      </c>
      <c r="G232" s="2">
        <v>11557.6</v>
      </c>
      <c r="H232" t="s">
        <v>29</v>
      </c>
      <c r="I232" t="s">
        <v>714</v>
      </c>
      <c r="J232" s="2">
        <v>-95.17</v>
      </c>
      <c r="K232" s="6" t="str">
        <f>I232&amp;J232</f>
        <v>02025111506T6150X00.SI522855X105767-95.17</v>
      </c>
      <c r="L232" s="4" t="str">
        <f>IF(COUNTIF(D:D,D232)&gt;1,"D","N")</f>
        <v>D</v>
      </c>
      <c r="M232" s="4">
        <f>COUNTIFS(D:D,D232,F:F,"UPDATED")</f>
        <v>0</v>
      </c>
      <c r="N232" s="4">
        <f>COUNTIFS(D:D,D232,F:F,"NOT UPDATED")</f>
        <v>3</v>
      </c>
      <c r="O232" s="4">
        <f>COUNTIF(D:D,D232)</f>
        <v>3</v>
      </c>
    </row>
    <row r="233" spans="1:15" hidden="1" x14ac:dyDescent="0.25">
      <c r="A233">
        <v>232</v>
      </c>
      <c r="B233" t="s">
        <v>341</v>
      </c>
      <c r="C233" s="1">
        <v>45793</v>
      </c>
      <c r="D233" t="s">
        <v>581</v>
      </c>
      <c r="E233" t="e">
        <v>#N/A</v>
      </c>
      <c r="F233" t="s">
        <v>11</v>
      </c>
      <c r="G233" s="2">
        <v>0</v>
      </c>
      <c r="H233" t="s">
        <v>29</v>
      </c>
      <c r="I233" t="s">
        <v>582</v>
      </c>
      <c r="J233" s="2">
        <v>-128.86000000000001</v>
      </c>
      <c r="K233" s="6" t="str">
        <f>I233&amp;J233</f>
        <v>02024271506262E0X00.SI404086X91202-128.86</v>
      </c>
      <c r="L233" s="4" t="str">
        <f>IF(COUNTIF(D:D,D233)&gt;1,"D","N")</f>
        <v>D</v>
      </c>
      <c r="M233" s="4">
        <f>COUNTIFS(D:D,D233,F:F,"UPDATED")</f>
        <v>0</v>
      </c>
      <c r="N233" s="4">
        <f>COUNTIFS(D:D,D233,F:F,"NOT UPDATED")</f>
        <v>5</v>
      </c>
      <c r="O233" s="4">
        <f>COUNTIF(D:D,D233)</f>
        <v>5</v>
      </c>
    </row>
    <row r="234" spans="1:15" hidden="1" x14ac:dyDescent="0.25">
      <c r="A234">
        <v>233</v>
      </c>
      <c r="B234" t="s">
        <v>341</v>
      </c>
      <c r="C234" s="1">
        <v>45793</v>
      </c>
      <c r="D234" t="s">
        <v>581</v>
      </c>
      <c r="E234" t="e">
        <v>#N/A</v>
      </c>
      <c r="F234" t="s">
        <v>11</v>
      </c>
      <c r="G234" s="2">
        <v>0</v>
      </c>
      <c r="H234" t="s">
        <v>29</v>
      </c>
      <c r="I234" t="s">
        <v>583</v>
      </c>
      <c r="J234" s="2">
        <v>-73.37</v>
      </c>
      <c r="K234" s="6" t="str">
        <f>I234&amp;J234</f>
        <v>0202428854685020X00.SI409432X92986-73.37</v>
      </c>
      <c r="L234" s="4" t="str">
        <f>IF(COUNTIF(D:D,D234)&gt;1,"D","N")</f>
        <v>D</v>
      </c>
      <c r="M234" s="4">
        <f>COUNTIFS(D:D,D234,F:F,"UPDATED")</f>
        <v>0</v>
      </c>
      <c r="N234" s="4">
        <f>COUNTIFS(D:D,D234,F:F,"NOT UPDATED")</f>
        <v>5</v>
      </c>
      <c r="O234" s="4">
        <f>COUNTIF(D:D,D234)</f>
        <v>5</v>
      </c>
    </row>
    <row r="235" spans="1:15" hidden="1" x14ac:dyDescent="0.25">
      <c r="A235">
        <v>234</v>
      </c>
      <c r="B235" t="s">
        <v>341</v>
      </c>
      <c r="C235" s="1">
        <v>45793</v>
      </c>
      <c r="D235" t="s">
        <v>581</v>
      </c>
      <c r="E235" t="e">
        <v>#N/A</v>
      </c>
      <c r="F235" t="s">
        <v>11</v>
      </c>
      <c r="G235" s="2">
        <v>0</v>
      </c>
      <c r="H235" t="s">
        <v>29</v>
      </c>
      <c r="I235" t="s">
        <v>584</v>
      </c>
      <c r="J235" s="2">
        <v>-94.63</v>
      </c>
      <c r="K235" s="6" t="str">
        <f>I235&amp;J235</f>
        <v>8.0202428854685020X00.SI409432X92986-94.63</v>
      </c>
      <c r="L235" s="4" t="str">
        <f>IF(COUNTIF(D:D,D235)&gt;1,"D","N")</f>
        <v>D</v>
      </c>
      <c r="M235" s="4">
        <f>COUNTIFS(D:D,D235,F:F,"UPDATED")</f>
        <v>0</v>
      </c>
      <c r="N235" s="4">
        <f>COUNTIFS(D:D,D235,F:F,"NOT UPDATED")</f>
        <v>5</v>
      </c>
      <c r="O235" s="4">
        <f>COUNTIF(D:D,D235)</f>
        <v>5</v>
      </c>
    </row>
    <row r="236" spans="1:15" hidden="1" x14ac:dyDescent="0.25">
      <c r="A236">
        <v>235</v>
      </c>
      <c r="B236" t="s">
        <v>341</v>
      </c>
      <c r="C236" s="1">
        <v>45793</v>
      </c>
      <c r="D236" t="s">
        <v>581</v>
      </c>
      <c r="E236" t="e">
        <v>#N/A</v>
      </c>
      <c r="F236" t="s">
        <v>11</v>
      </c>
      <c r="G236" s="2">
        <v>0</v>
      </c>
      <c r="H236" t="s">
        <v>29</v>
      </c>
      <c r="I236" t="s">
        <v>585</v>
      </c>
      <c r="J236" s="2">
        <v>-82.62</v>
      </c>
      <c r="K236" s="6" t="str">
        <f>I236&amp;J236</f>
        <v>8.02024283509N2990X00.SI412654X59249-82.62</v>
      </c>
      <c r="L236" s="4" t="str">
        <f>IF(COUNTIF(D:D,D236)&gt;1,"D","N")</f>
        <v>D</v>
      </c>
      <c r="M236" s="4">
        <f>COUNTIFS(D:D,D236,F:F,"UPDATED")</f>
        <v>0</v>
      </c>
      <c r="N236" s="4">
        <f>COUNTIFS(D:D,D236,F:F,"NOT UPDATED")</f>
        <v>5</v>
      </c>
      <c r="O236" s="4">
        <f>COUNTIF(D:D,D236)</f>
        <v>5</v>
      </c>
    </row>
    <row r="237" spans="1:15" hidden="1" x14ac:dyDescent="0.25">
      <c r="A237">
        <v>236</v>
      </c>
      <c r="B237" t="s">
        <v>341</v>
      </c>
      <c r="C237" s="1">
        <v>45793</v>
      </c>
      <c r="D237" t="s">
        <v>581</v>
      </c>
      <c r="E237" t="e">
        <v>#N/A</v>
      </c>
      <c r="F237" t="s">
        <v>11</v>
      </c>
      <c r="G237" s="2">
        <v>0</v>
      </c>
      <c r="H237" t="s">
        <v>29</v>
      </c>
      <c r="I237" t="s">
        <v>586</v>
      </c>
      <c r="J237" s="2">
        <v>-46.23</v>
      </c>
      <c r="K237" s="6" t="str">
        <f>I237&amp;J237</f>
        <v>8.02024309502U5320X00.SI427643X13304-46.23</v>
      </c>
      <c r="L237" s="4" t="str">
        <f>IF(COUNTIF(D:D,D237)&gt;1,"D","N")</f>
        <v>D</v>
      </c>
      <c r="M237" s="4">
        <f>COUNTIFS(D:D,D237,F:F,"UPDATED")</f>
        <v>0</v>
      </c>
      <c r="N237" s="4">
        <f>COUNTIFS(D:D,D237,F:F,"NOT UPDATED")</f>
        <v>5</v>
      </c>
      <c r="O237" s="4">
        <f>COUNTIF(D:D,D237)</f>
        <v>5</v>
      </c>
    </row>
    <row r="238" spans="1:15" hidden="1" x14ac:dyDescent="0.25">
      <c r="A238">
        <v>237</v>
      </c>
      <c r="B238" t="s">
        <v>341</v>
      </c>
      <c r="C238" s="1">
        <v>45793</v>
      </c>
      <c r="D238" t="s">
        <v>587</v>
      </c>
      <c r="E238" t="e">
        <v>#N/A</v>
      </c>
      <c r="F238" t="s">
        <v>11</v>
      </c>
      <c r="G238" s="2">
        <v>0</v>
      </c>
      <c r="H238" t="s">
        <v>15</v>
      </c>
      <c r="I238" t="s">
        <v>588</v>
      </c>
      <c r="J238" s="2">
        <v>34.86</v>
      </c>
      <c r="K238" s="6" t="str">
        <f>I238&amp;J238</f>
        <v>SI314258X79113 241220AFAK0134.86</v>
      </c>
      <c r="L238" s="4" t="str">
        <f>IF(COUNTIF(D:D,D238)&gt;1,"D","N")</f>
        <v>D</v>
      </c>
      <c r="M238" s="4">
        <f>COUNTIFS(D:D,D238,F:F,"UPDATED")</f>
        <v>0</v>
      </c>
      <c r="N238" s="4">
        <f>COUNTIFS(D:D,D238,F:F,"NOT UPDATED")</f>
        <v>2</v>
      </c>
      <c r="O238" s="4">
        <f>COUNTIF(D:D,D238)</f>
        <v>2</v>
      </c>
    </row>
    <row r="239" spans="1:15" hidden="1" x14ac:dyDescent="0.25">
      <c r="A239">
        <v>238</v>
      </c>
      <c r="B239" t="s">
        <v>341</v>
      </c>
      <c r="C239" s="1">
        <v>45793</v>
      </c>
      <c r="D239" t="s">
        <v>587</v>
      </c>
      <c r="E239" t="e">
        <v>#N/A</v>
      </c>
      <c r="F239" t="s">
        <v>11</v>
      </c>
      <c r="G239" s="2">
        <v>0</v>
      </c>
      <c r="H239" t="s">
        <v>15</v>
      </c>
      <c r="I239" t="s">
        <v>373</v>
      </c>
      <c r="J239" s="2">
        <v>61.4</v>
      </c>
      <c r="K239" s="6" t="str">
        <f>I239&amp;J239</f>
        <v>SI416394X89722 242900AEVX0161.4</v>
      </c>
      <c r="L239" s="4" t="str">
        <f>IF(COUNTIF(D:D,D239)&gt;1,"D","N")</f>
        <v>D</v>
      </c>
      <c r="M239" s="4">
        <f>COUNTIFS(D:D,D239,F:F,"UPDATED")</f>
        <v>0</v>
      </c>
      <c r="N239" s="4">
        <f>COUNTIFS(D:D,D239,F:F,"NOT UPDATED")</f>
        <v>2</v>
      </c>
      <c r="O239" s="4">
        <f>COUNTIF(D:D,D239)</f>
        <v>2</v>
      </c>
    </row>
    <row r="240" spans="1:15" hidden="1" x14ac:dyDescent="0.25">
      <c r="A240">
        <v>239</v>
      </c>
      <c r="B240" t="s">
        <v>111</v>
      </c>
      <c r="C240" s="1">
        <v>45793</v>
      </c>
      <c r="D240" t="s">
        <v>589</v>
      </c>
      <c r="E240" t="e">
        <v>#N/A</v>
      </c>
      <c r="F240" t="s">
        <v>11</v>
      </c>
      <c r="G240" s="2">
        <v>0</v>
      </c>
      <c r="H240" t="s">
        <v>15</v>
      </c>
      <c r="I240" t="s">
        <v>590</v>
      </c>
      <c r="J240" s="2">
        <v>390.03</v>
      </c>
      <c r="K240" s="6" t="str">
        <f>I240&amp;J240</f>
        <v>20250211 SI484493X101666390.03</v>
      </c>
      <c r="L240" s="4" t="str">
        <f>IF(COUNTIF(D:D,D240)&gt;1,"D","N")</f>
        <v>N</v>
      </c>
      <c r="M240" s="4">
        <f>COUNTIFS(D:D,D240,F:F,"UPDATED")</f>
        <v>0</v>
      </c>
      <c r="N240" s="4">
        <f>COUNTIFS(D:D,D240,F:F,"NOT UPDATED")</f>
        <v>1</v>
      </c>
      <c r="O240" s="4">
        <f>COUNTIF(D:D,D240)</f>
        <v>1</v>
      </c>
    </row>
    <row r="241" spans="1:15" hidden="1" x14ac:dyDescent="0.25">
      <c r="A241">
        <v>240</v>
      </c>
      <c r="B241" t="s">
        <v>111</v>
      </c>
      <c r="C241" s="1">
        <v>45793</v>
      </c>
      <c r="D241" t="s">
        <v>591</v>
      </c>
      <c r="E241" t="e">
        <v>#N/A</v>
      </c>
      <c r="F241" t="s">
        <v>11</v>
      </c>
      <c r="G241" s="2">
        <v>0</v>
      </c>
      <c r="H241" t="s">
        <v>15</v>
      </c>
      <c r="I241" t="s">
        <v>592</v>
      </c>
      <c r="J241" s="2">
        <v>-6.89</v>
      </c>
      <c r="K241" s="6" t="str">
        <f>I241&amp;J241</f>
        <v>20241120 SI441164X96288-6.89</v>
      </c>
      <c r="L241" s="4" t="str">
        <f>IF(COUNTIF(D:D,D241)&gt;1,"D","N")</f>
        <v>D</v>
      </c>
      <c r="M241" s="4">
        <f>COUNTIFS(D:D,D241,F:F,"UPDATED")</f>
        <v>0</v>
      </c>
      <c r="N241" s="4">
        <f>COUNTIFS(D:D,D241,F:F,"NOT UPDATED")</f>
        <v>2</v>
      </c>
      <c r="O241" s="4">
        <f>COUNTIF(D:D,D241)</f>
        <v>2</v>
      </c>
    </row>
    <row r="242" spans="1:15" hidden="1" x14ac:dyDescent="0.25">
      <c r="A242">
        <v>241</v>
      </c>
      <c r="B242" t="s">
        <v>111</v>
      </c>
      <c r="C242" s="1">
        <v>45793</v>
      </c>
      <c r="D242" t="s">
        <v>591</v>
      </c>
      <c r="E242" t="e">
        <v>#N/A</v>
      </c>
      <c r="F242" t="s">
        <v>11</v>
      </c>
      <c r="G242" s="2">
        <v>0</v>
      </c>
      <c r="H242" t="s">
        <v>15</v>
      </c>
      <c r="I242" t="s">
        <v>593</v>
      </c>
      <c r="J242" s="2">
        <v>-29.98</v>
      </c>
      <c r="K242" s="6" t="str">
        <f>I242&amp;J242</f>
        <v>20250408 SI526017X78016-29.98</v>
      </c>
      <c r="L242" s="4" t="str">
        <f>IF(COUNTIF(D:D,D242)&gt;1,"D","N")</f>
        <v>D</v>
      </c>
      <c r="M242" s="4">
        <f>COUNTIFS(D:D,D242,F:F,"UPDATED")</f>
        <v>0</v>
      </c>
      <c r="N242" s="4">
        <f>COUNTIFS(D:D,D242,F:F,"NOT UPDATED")</f>
        <v>2</v>
      </c>
      <c r="O242" s="4">
        <f>COUNTIF(D:D,D242)</f>
        <v>2</v>
      </c>
    </row>
    <row r="243" spans="1:15" hidden="1" x14ac:dyDescent="0.25">
      <c r="A243">
        <v>242</v>
      </c>
      <c r="B243" t="s">
        <v>71</v>
      </c>
      <c r="C243" s="1">
        <v>45794</v>
      </c>
      <c r="D243">
        <v>159211023250518</v>
      </c>
      <c r="E243" t="e">
        <v>#N/A</v>
      </c>
      <c r="F243" t="s">
        <v>11</v>
      </c>
      <c r="G243" t="s">
        <v>594</v>
      </c>
      <c r="H243" t="s">
        <v>15</v>
      </c>
      <c r="I243" t="s">
        <v>595</v>
      </c>
      <c r="J243" s="2">
        <v>171.72</v>
      </c>
      <c r="K243" s="6" t="str">
        <f>I243&amp;J243</f>
        <v>PSI501252X104018/820250700126260171.72</v>
      </c>
      <c r="L243" s="4" t="str">
        <f>IF(COUNTIF(D:D,D243)&gt;1,"D","N")</f>
        <v>N</v>
      </c>
      <c r="M243" s="4">
        <f>COUNTIFS(D:D,D243,F:F,"UPDATED")</f>
        <v>0</v>
      </c>
      <c r="N243" s="4">
        <f>COUNTIFS(D:D,D243,F:F,"NOT UPDATED")</f>
        <v>1</v>
      </c>
      <c r="O243" s="4">
        <f>COUNTIF(D:D,D243)</f>
        <v>1</v>
      </c>
    </row>
    <row r="244" spans="1:15" hidden="1" x14ac:dyDescent="0.25">
      <c r="A244">
        <v>243</v>
      </c>
      <c r="B244" t="s">
        <v>341</v>
      </c>
      <c r="C244" s="1">
        <v>45796</v>
      </c>
      <c r="D244" t="s">
        <v>596</v>
      </c>
      <c r="E244" t="s">
        <v>596</v>
      </c>
      <c r="F244" t="s">
        <v>339</v>
      </c>
      <c r="G244" s="2">
        <v>182.71</v>
      </c>
      <c r="H244" t="s">
        <v>29</v>
      </c>
      <c r="I244" t="s">
        <v>597</v>
      </c>
      <c r="J244" s="2">
        <v>-211.03</v>
      </c>
      <c r="K244" s="6" t="str">
        <f>I244&amp;J244</f>
        <v>8.02024309504U2180X00.SI427112X65929-211.03</v>
      </c>
      <c r="L244" s="4" t="str">
        <f>IF(COUNTIF(D:D,D244)&gt;1,"D","N")</f>
        <v>N</v>
      </c>
      <c r="M244" s="4">
        <f>COUNTIFS(D:D,D244,F:F,"UPDATED")</f>
        <v>1</v>
      </c>
      <c r="N244" s="4">
        <f>COUNTIFS(D:D,D244,F:F,"NOT UPDATED")</f>
        <v>0</v>
      </c>
      <c r="O244" s="4">
        <f>COUNTIF(D:D,D244)</f>
        <v>1</v>
      </c>
    </row>
    <row r="245" spans="1:15" x14ac:dyDescent="0.25">
      <c r="A245">
        <v>304</v>
      </c>
      <c r="B245" t="s">
        <v>341</v>
      </c>
      <c r="C245" t="s">
        <v>669</v>
      </c>
      <c r="D245" t="s">
        <v>672</v>
      </c>
      <c r="E245" t="e">
        <v>#N/A</v>
      </c>
      <c r="F245" t="s">
        <v>11</v>
      </c>
      <c r="G245" s="2">
        <v>25891.13</v>
      </c>
      <c r="H245" t="s">
        <v>29</v>
      </c>
      <c r="I245" t="s">
        <v>673</v>
      </c>
      <c r="J245" s="2">
        <v>-132.6</v>
      </c>
      <c r="K245" s="6" t="str">
        <f>I245&amp;J245</f>
        <v>02025115501J3310X00.SI527008X35941-132.6</v>
      </c>
      <c r="L245" s="4" t="str">
        <f>IF(COUNTIF(D:D,D245)&gt;1,"D","N")</f>
        <v>D</v>
      </c>
      <c r="M245" s="4">
        <f>COUNTIFS(D:D,D245,F:F,"UPDATED")</f>
        <v>0</v>
      </c>
      <c r="N245" s="4">
        <f>COUNTIFS(D:D,D245,F:F,"NOT UPDATED")</f>
        <v>2</v>
      </c>
      <c r="O245" s="4">
        <f>COUNTIF(D:D,D245)</f>
        <v>2</v>
      </c>
    </row>
    <row r="246" spans="1:15" hidden="1" x14ac:dyDescent="0.25">
      <c r="A246">
        <v>245</v>
      </c>
      <c r="B246" t="s">
        <v>341</v>
      </c>
      <c r="C246" s="1">
        <v>45796</v>
      </c>
      <c r="D246" t="s">
        <v>598</v>
      </c>
      <c r="E246" t="s">
        <v>598</v>
      </c>
      <c r="F246" t="s">
        <v>339</v>
      </c>
      <c r="G246" t="s">
        <v>599</v>
      </c>
      <c r="H246" t="s">
        <v>15</v>
      </c>
      <c r="I246" t="s">
        <v>600</v>
      </c>
      <c r="J246" s="2">
        <v>93.84</v>
      </c>
      <c r="K246" s="6" t="str">
        <f>I246&amp;J246</f>
        <v>02022294504H7490X00.SI47486X2813593.84</v>
      </c>
      <c r="L246" s="4" t="str">
        <f>IF(COUNTIF(D:D,D246)&gt;1,"D","N")</f>
        <v>D</v>
      </c>
      <c r="M246" s="4">
        <f>COUNTIFS(D:D,D246,F:F,"UPDATED")</f>
        <v>6</v>
      </c>
      <c r="N246" s="4">
        <f>COUNTIFS(D:D,D246,F:F,"NOT UPDATED")</f>
        <v>0</v>
      </c>
      <c r="O246" s="4">
        <f>COUNTIF(D:D,D246)</f>
        <v>6</v>
      </c>
    </row>
    <row r="247" spans="1:15" x14ac:dyDescent="0.25">
      <c r="A247">
        <v>349</v>
      </c>
      <c r="B247" t="s">
        <v>94</v>
      </c>
      <c r="C247" s="1">
        <v>45806</v>
      </c>
      <c r="D247" t="s">
        <v>736</v>
      </c>
      <c r="E247" t="e">
        <v>#N/A</v>
      </c>
      <c r="F247" t="s">
        <v>11</v>
      </c>
      <c r="G247" s="2">
        <v>25891.13</v>
      </c>
      <c r="H247" t="s">
        <v>29</v>
      </c>
      <c r="I247" t="s">
        <v>673</v>
      </c>
      <c r="J247" s="2">
        <v>-132.6</v>
      </c>
      <c r="K247" s="6" t="str">
        <f>I247&amp;J247</f>
        <v>02025115501J3310X00.SI527008X35941-132.6</v>
      </c>
      <c r="L247" s="4" t="str">
        <f>IF(COUNTIF(D:D,D247)&gt;1,"D","N")</f>
        <v>D</v>
      </c>
      <c r="M247" s="4">
        <f>COUNTIFS(D:D,D247,F:F,"UPDATED")</f>
        <v>0</v>
      </c>
      <c r="N247" s="4">
        <f>COUNTIFS(D:D,D247,F:F,"NOT UPDATED")</f>
        <v>2</v>
      </c>
      <c r="O247" s="4">
        <f>COUNTIF(D:D,D247)</f>
        <v>2</v>
      </c>
    </row>
    <row r="248" spans="1:15" hidden="1" x14ac:dyDescent="0.25">
      <c r="A248">
        <v>247</v>
      </c>
      <c r="B248" t="s">
        <v>341</v>
      </c>
      <c r="C248" s="1">
        <v>45796</v>
      </c>
      <c r="D248" t="s">
        <v>598</v>
      </c>
      <c r="E248" t="s">
        <v>598</v>
      </c>
      <c r="F248" t="s">
        <v>339</v>
      </c>
      <c r="G248" t="s">
        <v>599</v>
      </c>
      <c r="H248" t="s">
        <v>29</v>
      </c>
      <c r="I248" t="s">
        <v>601</v>
      </c>
      <c r="J248" s="2">
        <v>-115.12</v>
      </c>
      <c r="K248" s="6" t="str">
        <f>I248&amp;J248</f>
        <v>02021127501471G0X00.SP462500X71718-115.12</v>
      </c>
      <c r="L248" s="4" t="str">
        <f>IF(COUNTIF(D:D,D248)&gt;1,"D","N")</f>
        <v>D</v>
      </c>
      <c r="M248" s="4">
        <f>COUNTIFS(D:D,D248,F:F,"UPDATED")</f>
        <v>6</v>
      </c>
      <c r="N248" s="4">
        <f>COUNTIFS(D:D,D248,F:F,"NOT UPDATED")</f>
        <v>0</v>
      </c>
      <c r="O248" s="4">
        <f>COUNTIF(D:D,D248)</f>
        <v>6</v>
      </c>
    </row>
    <row r="249" spans="1:15" hidden="1" x14ac:dyDescent="0.25">
      <c r="A249">
        <v>248</v>
      </c>
      <c r="B249" t="s">
        <v>341</v>
      </c>
      <c r="C249" s="1">
        <v>45796</v>
      </c>
      <c r="D249" t="s">
        <v>598</v>
      </c>
      <c r="E249" t="s">
        <v>598</v>
      </c>
      <c r="F249" t="s">
        <v>339</v>
      </c>
      <c r="G249" t="s">
        <v>599</v>
      </c>
      <c r="H249" t="s">
        <v>29</v>
      </c>
      <c r="I249" t="s">
        <v>602</v>
      </c>
      <c r="J249" s="2">
        <v>-220.35</v>
      </c>
      <c r="K249" s="6" t="str">
        <f>I249&amp;J249</f>
        <v>02025111505T5200X00.SI514827X63158-220.35</v>
      </c>
      <c r="L249" s="4" t="str">
        <f>IF(COUNTIF(D:D,D249)&gt;1,"D","N")</f>
        <v>D</v>
      </c>
      <c r="M249" s="4">
        <f>COUNTIFS(D:D,D249,F:F,"UPDATED")</f>
        <v>6</v>
      </c>
      <c r="N249" s="4">
        <f>COUNTIFS(D:D,D249,F:F,"NOT UPDATED")</f>
        <v>0</v>
      </c>
      <c r="O249" s="4">
        <f>COUNTIF(D:D,D249)</f>
        <v>6</v>
      </c>
    </row>
    <row r="250" spans="1:15" hidden="1" x14ac:dyDescent="0.25">
      <c r="A250">
        <v>249</v>
      </c>
      <c r="B250" t="s">
        <v>341</v>
      </c>
      <c r="C250" s="1">
        <v>45796</v>
      </c>
      <c r="D250" t="s">
        <v>598</v>
      </c>
      <c r="E250" t="s">
        <v>598</v>
      </c>
      <c r="F250" t="s">
        <v>339</v>
      </c>
      <c r="G250" t="s">
        <v>599</v>
      </c>
      <c r="H250" t="s">
        <v>29</v>
      </c>
      <c r="I250" t="s">
        <v>603</v>
      </c>
      <c r="J250" s="2">
        <v>-315</v>
      </c>
      <c r="K250" s="6" t="str">
        <f>I250&amp;J250</f>
        <v>02025069501T1530X00.SI500849X44151-315</v>
      </c>
      <c r="L250" s="4" t="str">
        <f>IF(COUNTIF(D:D,D250)&gt;1,"D","N")</f>
        <v>D</v>
      </c>
      <c r="M250" s="4">
        <f>COUNTIFS(D:D,D250,F:F,"UPDATED")</f>
        <v>6</v>
      </c>
      <c r="N250" s="4">
        <f>COUNTIFS(D:D,D250,F:F,"NOT UPDATED")</f>
        <v>0</v>
      </c>
      <c r="O250" s="4">
        <f>COUNTIF(D:D,D250)</f>
        <v>6</v>
      </c>
    </row>
    <row r="251" spans="1:15" hidden="1" x14ac:dyDescent="0.25">
      <c r="A251">
        <v>250</v>
      </c>
      <c r="B251" t="s">
        <v>341</v>
      </c>
      <c r="C251" s="1">
        <v>45796</v>
      </c>
      <c r="D251" t="s">
        <v>604</v>
      </c>
      <c r="E251" t="e">
        <v>#N/A</v>
      </c>
      <c r="F251" t="s">
        <v>11</v>
      </c>
      <c r="G251" s="2">
        <v>0</v>
      </c>
      <c r="H251" t="s">
        <v>29</v>
      </c>
      <c r="I251" t="s">
        <v>605</v>
      </c>
      <c r="J251" s="2">
        <v>-16.48</v>
      </c>
      <c r="K251" s="6" t="str">
        <f>I251&amp;J251</f>
        <v>8.02024332500933F0X00.SI441363X96298-16.48</v>
      </c>
      <c r="L251" s="4" t="str">
        <f>IF(COUNTIF(D:D,D251)&gt;1,"D","N")</f>
        <v>N</v>
      </c>
      <c r="M251" s="4">
        <f>COUNTIFS(D:D,D251,F:F,"UPDATED")</f>
        <v>0</v>
      </c>
      <c r="N251" s="4">
        <f>COUNTIFS(D:D,D251,F:F,"NOT UPDATED")</f>
        <v>1</v>
      </c>
      <c r="O251" s="4">
        <f>COUNTIF(D:D,D251)</f>
        <v>1</v>
      </c>
    </row>
    <row r="252" spans="1:15" hidden="1" x14ac:dyDescent="0.25">
      <c r="A252">
        <v>251</v>
      </c>
      <c r="B252" t="s">
        <v>345</v>
      </c>
      <c r="C252" s="1">
        <v>45797</v>
      </c>
      <c r="D252">
        <v>825135000325115</v>
      </c>
      <c r="E252">
        <v>825135000325115</v>
      </c>
      <c r="F252" t="s">
        <v>339</v>
      </c>
      <c r="G252" s="2">
        <v>9632.3799999999992</v>
      </c>
      <c r="H252" t="s">
        <v>12</v>
      </c>
      <c r="I252" s="3">
        <v>925130000000000</v>
      </c>
      <c r="J252" s="2">
        <v>118.08</v>
      </c>
      <c r="K252" s="6" t="str">
        <f>I252&amp;J252</f>
        <v>925130000000000118.08</v>
      </c>
      <c r="L252" s="4" t="str">
        <f>IF(COUNTIF(D:D,D252)&gt;1,"D","N")</f>
        <v>D</v>
      </c>
      <c r="M252" s="4">
        <f>COUNTIFS(D:D,D252,F:F,"UPDATED")</f>
        <v>3</v>
      </c>
      <c r="N252" s="4">
        <f>COUNTIFS(D:D,D252,F:F,"NOT UPDATED")</f>
        <v>0</v>
      </c>
      <c r="O252" s="4">
        <f>COUNTIF(D:D,D252)</f>
        <v>3</v>
      </c>
    </row>
    <row r="253" spans="1:15" hidden="1" x14ac:dyDescent="0.25">
      <c r="A253">
        <v>252</v>
      </c>
      <c r="B253" t="s">
        <v>345</v>
      </c>
      <c r="C253" s="1">
        <v>45797</v>
      </c>
      <c r="D253">
        <v>825135000325115</v>
      </c>
      <c r="E253">
        <v>825135000325115</v>
      </c>
      <c r="F253" t="s">
        <v>339</v>
      </c>
      <c r="G253" s="2">
        <v>9632.3799999999992</v>
      </c>
      <c r="H253" t="s">
        <v>15</v>
      </c>
      <c r="I253" t="s">
        <v>606</v>
      </c>
      <c r="J253" s="2">
        <v>118.08</v>
      </c>
      <c r="K253" s="6" t="str">
        <f>I253&amp;J253</f>
        <v>E537HLHT30000-SI445526X3093-2024-11-30118.08</v>
      </c>
      <c r="L253" s="4" t="str">
        <f>IF(COUNTIF(D:D,D253)&gt;1,"D","N")</f>
        <v>D</v>
      </c>
      <c r="M253" s="4">
        <f>COUNTIFS(D:D,D253,F:F,"UPDATED")</f>
        <v>3</v>
      </c>
      <c r="N253" s="4">
        <f>COUNTIFS(D:D,D253,F:F,"NOT UPDATED")</f>
        <v>0</v>
      </c>
      <c r="O253" s="4">
        <f>COUNTIF(D:D,D253)</f>
        <v>3</v>
      </c>
    </row>
    <row r="254" spans="1:15" hidden="1" x14ac:dyDescent="0.25">
      <c r="A254">
        <v>253</v>
      </c>
      <c r="B254" t="s">
        <v>345</v>
      </c>
      <c r="C254" s="1">
        <v>45797</v>
      </c>
      <c r="D254">
        <v>825135000325115</v>
      </c>
      <c r="E254">
        <v>825135000325115</v>
      </c>
      <c r="F254" t="s">
        <v>339</v>
      </c>
      <c r="G254" s="2">
        <v>9632.3799999999992</v>
      </c>
      <c r="H254" t="s">
        <v>29</v>
      </c>
      <c r="I254" t="s">
        <v>606</v>
      </c>
      <c r="J254" s="2">
        <v>-118.08</v>
      </c>
      <c r="K254" s="6" t="str">
        <f>I254&amp;J254</f>
        <v>E537HLHT30000-SI445526X3093-2024-11-30-118.08</v>
      </c>
      <c r="L254" s="4" t="str">
        <f>IF(COUNTIF(D:D,D254)&gt;1,"D","N")</f>
        <v>D</v>
      </c>
      <c r="M254" s="4">
        <f>COUNTIFS(D:D,D254,F:F,"UPDATED")</f>
        <v>3</v>
      </c>
      <c r="N254" s="4">
        <f>COUNTIFS(D:D,D254,F:F,"NOT UPDATED")</f>
        <v>0</v>
      </c>
      <c r="O254" s="4">
        <f>COUNTIF(D:D,D254)</f>
        <v>3</v>
      </c>
    </row>
    <row r="255" spans="1:15" hidden="1" x14ac:dyDescent="0.25">
      <c r="A255">
        <v>254</v>
      </c>
      <c r="B255" t="s">
        <v>341</v>
      </c>
      <c r="C255" s="1">
        <v>45797</v>
      </c>
      <c r="D255" t="s">
        <v>607</v>
      </c>
      <c r="E255" t="s">
        <v>607</v>
      </c>
      <c r="F255" t="s">
        <v>339</v>
      </c>
      <c r="G255" t="s">
        <v>608</v>
      </c>
      <c r="H255" t="s">
        <v>29</v>
      </c>
      <c r="I255" t="s">
        <v>609</v>
      </c>
      <c r="J255" s="2">
        <v>-195.83</v>
      </c>
      <c r="K255" s="6" t="str">
        <f>I255&amp;J255</f>
        <v>0202316050533P10X00.SI155488X19529-195.83</v>
      </c>
      <c r="L255" s="4" t="str">
        <f>IF(COUNTIF(D:D,D255)&gt;1,"D","N")</f>
        <v>N</v>
      </c>
      <c r="M255" s="4">
        <f>COUNTIFS(D:D,D255,F:F,"UPDATED")</f>
        <v>1</v>
      </c>
      <c r="N255" s="4">
        <f>COUNTIFS(D:D,D255,F:F,"NOT UPDATED")</f>
        <v>0</v>
      </c>
      <c r="O255" s="4">
        <f>COUNTIF(D:D,D255)</f>
        <v>1</v>
      </c>
    </row>
    <row r="256" spans="1:15" hidden="1" x14ac:dyDescent="0.25">
      <c r="A256">
        <v>255</v>
      </c>
      <c r="B256" t="s">
        <v>341</v>
      </c>
      <c r="C256" s="1">
        <v>45797</v>
      </c>
      <c r="D256" t="s">
        <v>610</v>
      </c>
      <c r="E256" t="e">
        <v>#N/A</v>
      </c>
      <c r="F256" t="s">
        <v>11</v>
      </c>
      <c r="G256" s="2">
        <v>0</v>
      </c>
      <c r="H256" t="s">
        <v>194</v>
      </c>
      <c r="I256" t="s">
        <v>611</v>
      </c>
      <c r="J256" s="2">
        <v>-0.19</v>
      </c>
      <c r="K256" s="6" t="str">
        <f>I256&amp;J256</f>
        <v>020243045091W150X01.SI425918X77388-0.19</v>
      </c>
      <c r="L256" s="4" t="str">
        <f>IF(COUNTIF(D:D,D256)&gt;1,"D","N")</f>
        <v>D</v>
      </c>
      <c r="M256" s="4">
        <f>COUNTIFS(D:D,D256,F:F,"UPDATED")</f>
        <v>0</v>
      </c>
      <c r="N256" s="4">
        <f>COUNTIFS(D:D,D256,F:F,"NOT UPDATED")</f>
        <v>7</v>
      </c>
      <c r="O256" s="4">
        <f>COUNTIF(D:D,D256)</f>
        <v>7</v>
      </c>
    </row>
    <row r="257" spans="1:15" hidden="1" x14ac:dyDescent="0.25">
      <c r="A257">
        <v>256</v>
      </c>
      <c r="B257" t="s">
        <v>341</v>
      </c>
      <c r="C257" s="1">
        <v>45797</v>
      </c>
      <c r="D257" t="s">
        <v>610</v>
      </c>
      <c r="E257" t="e">
        <v>#N/A</v>
      </c>
      <c r="F257" t="s">
        <v>11</v>
      </c>
      <c r="G257" s="2">
        <v>0</v>
      </c>
      <c r="H257" t="s">
        <v>29</v>
      </c>
      <c r="I257" t="s">
        <v>612</v>
      </c>
      <c r="J257" s="2">
        <v>-65.41</v>
      </c>
      <c r="K257" s="6" t="str">
        <f>I257&amp;J257</f>
        <v>8.0202433150K14580X00.SI440746X14376-65.41</v>
      </c>
      <c r="L257" s="4" t="str">
        <f>IF(COUNTIF(D:D,D257)&gt;1,"D","N")</f>
        <v>D</v>
      </c>
      <c r="M257" s="4">
        <f>COUNTIFS(D:D,D257,F:F,"UPDATED")</f>
        <v>0</v>
      </c>
      <c r="N257" s="4">
        <f>COUNTIFS(D:D,D257,F:F,"NOT UPDATED")</f>
        <v>7</v>
      </c>
      <c r="O257" s="4">
        <f>COUNTIF(D:D,D257)</f>
        <v>7</v>
      </c>
    </row>
    <row r="258" spans="1:15" hidden="1" x14ac:dyDescent="0.25">
      <c r="A258">
        <v>257</v>
      </c>
      <c r="B258" t="s">
        <v>341</v>
      </c>
      <c r="C258" s="1">
        <v>45797</v>
      </c>
      <c r="D258" t="s">
        <v>610</v>
      </c>
      <c r="E258" t="e">
        <v>#N/A</v>
      </c>
      <c r="F258" t="s">
        <v>11</v>
      </c>
      <c r="G258" s="2">
        <v>0</v>
      </c>
      <c r="H258" t="s">
        <v>29</v>
      </c>
      <c r="I258" t="s">
        <v>613</v>
      </c>
      <c r="J258" s="2">
        <v>-77.13</v>
      </c>
      <c r="K258" s="6" t="str">
        <f>I258&amp;J258</f>
        <v>8.020243045091W150X01.SI425918X77388-77.13</v>
      </c>
      <c r="L258" s="4" t="str">
        <f>IF(COUNTIF(D:D,D258)&gt;1,"D","N")</f>
        <v>D</v>
      </c>
      <c r="M258" s="4">
        <f>COUNTIFS(D:D,D258,F:F,"UPDATED")</f>
        <v>0</v>
      </c>
      <c r="N258" s="4">
        <f>COUNTIFS(D:D,D258,F:F,"NOT UPDATED")</f>
        <v>7</v>
      </c>
      <c r="O258" s="4">
        <f>COUNTIF(D:D,D258)</f>
        <v>7</v>
      </c>
    </row>
    <row r="259" spans="1:15" hidden="1" x14ac:dyDescent="0.25">
      <c r="A259">
        <v>258</v>
      </c>
      <c r="B259" t="s">
        <v>341</v>
      </c>
      <c r="C259" s="1">
        <v>45797</v>
      </c>
      <c r="D259" t="s">
        <v>610</v>
      </c>
      <c r="E259" t="e">
        <v>#N/A</v>
      </c>
      <c r="F259" t="s">
        <v>11</v>
      </c>
      <c r="G259" s="2">
        <v>0</v>
      </c>
      <c r="H259" t="s">
        <v>29</v>
      </c>
      <c r="I259" t="s">
        <v>614</v>
      </c>
      <c r="J259" s="2">
        <v>-7</v>
      </c>
      <c r="K259" s="6" t="str">
        <f>I259&amp;J259</f>
        <v>8.020242895079B290X00.SI417125X6968-7</v>
      </c>
      <c r="L259" s="4" t="str">
        <f>IF(COUNTIF(D:D,D259)&gt;1,"D","N")</f>
        <v>D</v>
      </c>
      <c r="M259" s="4">
        <f>COUNTIFS(D:D,D259,F:F,"UPDATED")</f>
        <v>0</v>
      </c>
      <c r="N259" s="4">
        <f>COUNTIFS(D:D,D259,F:F,"NOT UPDATED")</f>
        <v>7</v>
      </c>
      <c r="O259" s="4">
        <f>COUNTIF(D:D,D259)</f>
        <v>7</v>
      </c>
    </row>
    <row r="260" spans="1:15" hidden="1" x14ac:dyDescent="0.25">
      <c r="A260">
        <v>259</v>
      </c>
      <c r="B260" t="s">
        <v>341</v>
      </c>
      <c r="C260" s="1">
        <v>45797</v>
      </c>
      <c r="D260" t="s">
        <v>610</v>
      </c>
      <c r="E260" t="e">
        <v>#N/A</v>
      </c>
      <c r="F260" t="s">
        <v>11</v>
      </c>
      <c r="G260" s="2">
        <v>0</v>
      </c>
      <c r="H260" t="s">
        <v>29</v>
      </c>
      <c r="I260" t="s">
        <v>615</v>
      </c>
      <c r="J260" s="2">
        <v>-211.84</v>
      </c>
      <c r="K260" s="6" t="str">
        <f>I260&amp;J260</f>
        <v>8.0202429150361W10X00.SI417363X93706-211.84</v>
      </c>
      <c r="L260" s="4" t="str">
        <f>IF(COUNTIF(D:D,D260)&gt;1,"D","N")</f>
        <v>D</v>
      </c>
      <c r="M260" s="4">
        <f>COUNTIFS(D:D,D260,F:F,"UPDATED")</f>
        <v>0</v>
      </c>
      <c r="N260" s="4">
        <f>COUNTIFS(D:D,D260,F:F,"NOT UPDATED")</f>
        <v>7</v>
      </c>
      <c r="O260" s="4">
        <f>COUNTIF(D:D,D260)</f>
        <v>7</v>
      </c>
    </row>
    <row r="261" spans="1:15" hidden="1" x14ac:dyDescent="0.25">
      <c r="A261">
        <v>260</v>
      </c>
      <c r="B261" t="s">
        <v>341</v>
      </c>
      <c r="C261" s="1">
        <v>45797</v>
      </c>
      <c r="D261" t="s">
        <v>610</v>
      </c>
      <c r="E261" t="e">
        <v>#N/A</v>
      </c>
      <c r="F261" t="s">
        <v>11</v>
      </c>
      <c r="G261" s="2">
        <v>0</v>
      </c>
      <c r="H261" t="s">
        <v>29</v>
      </c>
      <c r="I261" t="s">
        <v>616</v>
      </c>
      <c r="J261" s="2">
        <v>-215.69</v>
      </c>
      <c r="K261" s="6" t="str">
        <f>I261&amp;J261</f>
        <v>8.02024318500702B0X00.SI433159X78189-215.69</v>
      </c>
      <c r="L261" s="4" t="str">
        <f>IF(COUNTIF(D:D,D261)&gt;1,"D","N")</f>
        <v>D</v>
      </c>
      <c r="M261" s="4">
        <f>COUNTIFS(D:D,D261,F:F,"UPDATED")</f>
        <v>0</v>
      </c>
      <c r="N261" s="4">
        <f>COUNTIFS(D:D,D261,F:F,"NOT UPDATED")</f>
        <v>7</v>
      </c>
      <c r="O261" s="4">
        <f>COUNTIF(D:D,D261)</f>
        <v>7</v>
      </c>
    </row>
    <row r="262" spans="1:15" hidden="1" x14ac:dyDescent="0.25">
      <c r="A262">
        <v>261</v>
      </c>
      <c r="B262" t="s">
        <v>341</v>
      </c>
      <c r="C262" s="1">
        <v>45797</v>
      </c>
      <c r="D262" t="s">
        <v>610</v>
      </c>
      <c r="E262" t="e">
        <v>#N/A</v>
      </c>
      <c r="F262" t="s">
        <v>11</v>
      </c>
      <c r="G262" s="2">
        <v>0</v>
      </c>
      <c r="H262" t="s">
        <v>29</v>
      </c>
      <c r="I262" t="s">
        <v>617</v>
      </c>
      <c r="J262" s="2">
        <v>-38.71</v>
      </c>
      <c r="K262" s="6" t="str">
        <f>I262&amp;J262</f>
        <v>8.0202430650Z09330X00.SI426866X9815-38.71</v>
      </c>
      <c r="L262" s="4" t="str">
        <f>IF(COUNTIF(D:D,D262)&gt;1,"D","N")</f>
        <v>D</v>
      </c>
      <c r="M262" s="4">
        <f>COUNTIFS(D:D,D262,F:F,"UPDATED")</f>
        <v>0</v>
      </c>
      <c r="N262" s="4">
        <f>COUNTIFS(D:D,D262,F:F,"NOT UPDATED")</f>
        <v>7</v>
      </c>
      <c r="O262" s="4">
        <f>COUNTIF(D:D,D262)</f>
        <v>7</v>
      </c>
    </row>
    <row r="263" spans="1:15" hidden="1" x14ac:dyDescent="0.25">
      <c r="A263">
        <v>262</v>
      </c>
      <c r="B263" t="s">
        <v>78</v>
      </c>
      <c r="C263" s="1">
        <v>45797</v>
      </c>
      <c r="D263" t="s">
        <v>618</v>
      </c>
      <c r="E263" t="e">
        <v>#N/A</v>
      </c>
      <c r="F263" t="s">
        <v>11</v>
      </c>
      <c r="G263" t="s">
        <v>619</v>
      </c>
      <c r="H263" t="s">
        <v>15</v>
      </c>
      <c r="I263" t="s">
        <v>588</v>
      </c>
      <c r="J263" s="2">
        <v>8.8699999999999992</v>
      </c>
      <c r="K263" s="6" t="str">
        <f>I263&amp;J263</f>
        <v>SI314258X79113 241220AFAK018.87</v>
      </c>
      <c r="L263" s="4" t="str">
        <f>IF(COUNTIF(D:D,D263)&gt;1,"D","N")</f>
        <v>N</v>
      </c>
      <c r="M263" s="4">
        <f>COUNTIFS(D:D,D263,F:F,"UPDATED")</f>
        <v>0</v>
      </c>
      <c r="N263" s="4">
        <f>COUNTIFS(D:D,D263,F:F,"NOT UPDATED")</f>
        <v>1</v>
      </c>
      <c r="O263" s="4">
        <f>COUNTIF(D:D,D263)</f>
        <v>1</v>
      </c>
    </row>
    <row r="264" spans="1:15" hidden="1" x14ac:dyDescent="0.25">
      <c r="A264">
        <v>263</v>
      </c>
      <c r="B264" t="s">
        <v>10</v>
      </c>
      <c r="C264" s="1">
        <v>45797</v>
      </c>
      <c r="D264">
        <v>800498589</v>
      </c>
      <c r="E264" t="e">
        <v>#N/A</v>
      </c>
      <c r="F264" t="s">
        <v>11</v>
      </c>
      <c r="G264" t="s">
        <v>620</v>
      </c>
      <c r="H264" t="s">
        <v>15</v>
      </c>
      <c r="I264" t="s">
        <v>621</v>
      </c>
      <c r="J264" s="2">
        <v>0.59</v>
      </c>
      <c r="K264" s="6" t="str">
        <f>I264&amp;J264</f>
        <v>-0.59</v>
      </c>
      <c r="L264" s="4" t="str">
        <f>IF(COUNTIF(D:D,D264)&gt;1,"D","N")</f>
        <v>D</v>
      </c>
      <c r="M264" s="4">
        <f>COUNTIFS(D:D,D264,F:F,"UPDATED")</f>
        <v>0</v>
      </c>
      <c r="N264" s="4">
        <f>COUNTIFS(D:D,D264,F:F,"NOT UPDATED")</f>
        <v>5</v>
      </c>
      <c r="O264" s="4">
        <f>COUNTIF(D:D,D264)</f>
        <v>5</v>
      </c>
    </row>
    <row r="265" spans="1:15" hidden="1" x14ac:dyDescent="0.25">
      <c r="A265">
        <v>264</v>
      </c>
      <c r="B265" t="s">
        <v>10</v>
      </c>
      <c r="C265" s="1">
        <v>45797</v>
      </c>
      <c r="D265">
        <v>800498589</v>
      </c>
      <c r="E265" t="e">
        <v>#N/A</v>
      </c>
      <c r="F265" t="s">
        <v>11</v>
      </c>
      <c r="G265" t="s">
        <v>620</v>
      </c>
      <c r="H265" t="s">
        <v>15</v>
      </c>
      <c r="I265" t="s">
        <v>621</v>
      </c>
      <c r="J265" s="2">
        <v>57.5</v>
      </c>
      <c r="K265" s="6" t="str">
        <f>I265&amp;J265</f>
        <v>-57.5</v>
      </c>
      <c r="L265" s="4" t="str">
        <f>IF(COUNTIF(D:D,D265)&gt;1,"D","N")</f>
        <v>D</v>
      </c>
      <c r="M265" s="4">
        <f>COUNTIFS(D:D,D265,F:F,"UPDATED")</f>
        <v>0</v>
      </c>
      <c r="N265" s="4">
        <f>COUNTIFS(D:D,D265,F:F,"NOT UPDATED")</f>
        <v>5</v>
      </c>
      <c r="O265" s="4">
        <f>COUNTIF(D:D,D265)</f>
        <v>5</v>
      </c>
    </row>
    <row r="266" spans="1:15" hidden="1" x14ac:dyDescent="0.25">
      <c r="A266">
        <v>265</v>
      </c>
      <c r="B266" t="s">
        <v>10</v>
      </c>
      <c r="C266" s="1">
        <v>45797</v>
      </c>
      <c r="D266">
        <v>800498589</v>
      </c>
      <c r="E266" t="e">
        <v>#N/A</v>
      </c>
      <c r="F266" t="s">
        <v>11</v>
      </c>
      <c r="G266" t="s">
        <v>620</v>
      </c>
      <c r="H266" t="s">
        <v>15</v>
      </c>
      <c r="I266" t="s">
        <v>622</v>
      </c>
      <c r="J266" s="2">
        <v>97.08</v>
      </c>
      <c r="K266" s="6" t="str">
        <f>I266&amp;J266</f>
        <v>SI462337X5302097.08</v>
      </c>
      <c r="L266" s="4" t="str">
        <f>IF(COUNTIF(D:D,D266)&gt;1,"D","N")</f>
        <v>D</v>
      </c>
      <c r="M266" s="4">
        <f>COUNTIFS(D:D,D266,F:F,"UPDATED")</f>
        <v>0</v>
      </c>
      <c r="N266" s="4">
        <f>COUNTIFS(D:D,D266,F:F,"NOT UPDATED")</f>
        <v>5</v>
      </c>
      <c r="O266" s="4">
        <f>COUNTIF(D:D,D266)</f>
        <v>5</v>
      </c>
    </row>
    <row r="267" spans="1:15" hidden="1" x14ac:dyDescent="0.25">
      <c r="A267">
        <v>266</v>
      </c>
      <c r="B267" t="s">
        <v>10</v>
      </c>
      <c r="C267" s="1">
        <v>45797</v>
      </c>
      <c r="D267">
        <v>800498589</v>
      </c>
      <c r="E267" t="e">
        <v>#N/A</v>
      </c>
      <c r="F267" t="s">
        <v>11</v>
      </c>
      <c r="G267" t="s">
        <v>620</v>
      </c>
      <c r="H267" t="s">
        <v>12</v>
      </c>
      <c r="I267" t="s">
        <v>623</v>
      </c>
      <c r="J267" s="2">
        <v>-87.46</v>
      </c>
      <c r="K267" s="6" t="str">
        <f>I267&amp;J267</f>
        <v>SI445210X95488-87.46</v>
      </c>
      <c r="L267" s="4" t="str">
        <f>IF(COUNTIF(D:D,D267)&gt;1,"D","N")</f>
        <v>D</v>
      </c>
      <c r="M267" s="4">
        <f>COUNTIFS(D:D,D267,F:F,"UPDATED")</f>
        <v>0</v>
      </c>
      <c r="N267" s="4">
        <f>COUNTIFS(D:D,D267,F:F,"NOT UPDATED")</f>
        <v>5</v>
      </c>
      <c r="O267" s="4">
        <f>COUNTIF(D:D,D267)</f>
        <v>5</v>
      </c>
    </row>
    <row r="268" spans="1:15" hidden="1" x14ac:dyDescent="0.25">
      <c r="A268">
        <v>267</v>
      </c>
      <c r="B268" t="s">
        <v>10</v>
      </c>
      <c r="C268" s="1">
        <v>45797</v>
      </c>
      <c r="D268">
        <v>800498589</v>
      </c>
      <c r="E268" t="e">
        <v>#N/A</v>
      </c>
      <c r="F268" t="s">
        <v>11</v>
      </c>
      <c r="G268" t="s">
        <v>620</v>
      </c>
      <c r="H268" t="s">
        <v>12</v>
      </c>
      <c r="I268" t="s">
        <v>624</v>
      </c>
      <c r="J268" s="2">
        <v>-63.89</v>
      </c>
      <c r="K268" s="6" t="str">
        <f>I268&amp;J268</f>
        <v>SI430393X95488-63.89</v>
      </c>
      <c r="L268" s="4" t="str">
        <f>IF(COUNTIF(D:D,D268)&gt;1,"D","N")</f>
        <v>D</v>
      </c>
      <c r="M268" s="4">
        <f>COUNTIFS(D:D,D268,F:F,"UPDATED")</f>
        <v>0</v>
      </c>
      <c r="N268" s="4">
        <f>COUNTIFS(D:D,D268,F:F,"NOT UPDATED")</f>
        <v>5</v>
      </c>
      <c r="O268" s="4">
        <f>COUNTIF(D:D,D268)</f>
        <v>5</v>
      </c>
    </row>
    <row r="269" spans="1:15" hidden="1" x14ac:dyDescent="0.25">
      <c r="A269">
        <v>268</v>
      </c>
      <c r="B269" t="s">
        <v>341</v>
      </c>
      <c r="C269" s="1">
        <v>45798</v>
      </c>
      <c r="D269" t="s">
        <v>625</v>
      </c>
      <c r="E269" t="e">
        <v>#N/A</v>
      </c>
      <c r="F269" t="s">
        <v>11</v>
      </c>
      <c r="G269" s="2">
        <v>10901.77</v>
      </c>
      <c r="H269" t="s">
        <v>15</v>
      </c>
      <c r="I269" t="s">
        <v>626</v>
      </c>
      <c r="J269" s="2">
        <v>94.61</v>
      </c>
      <c r="K269" s="6" t="str">
        <f>I269&amp;J269</f>
        <v>02023256505Q0930X.SI193811X6149794.61</v>
      </c>
      <c r="L269" s="4" t="str">
        <f>IF(COUNTIF(D:D,D269)&gt;1,"D","N")</f>
        <v>D</v>
      </c>
      <c r="M269" s="4">
        <f>COUNTIFS(D:D,D269,F:F,"UPDATED")</f>
        <v>0</v>
      </c>
      <c r="N269" s="4">
        <f>COUNTIFS(D:D,D269,F:F,"NOT UPDATED")</f>
        <v>17</v>
      </c>
      <c r="O269" s="4">
        <f>COUNTIF(D:D,D269)</f>
        <v>17</v>
      </c>
    </row>
    <row r="270" spans="1:15" hidden="1" x14ac:dyDescent="0.25">
      <c r="A270">
        <v>269</v>
      </c>
      <c r="B270" t="s">
        <v>341</v>
      </c>
      <c r="C270" s="1">
        <v>45798</v>
      </c>
      <c r="D270" t="s">
        <v>625</v>
      </c>
      <c r="E270" t="e">
        <v>#N/A</v>
      </c>
      <c r="F270" t="s">
        <v>11</v>
      </c>
      <c r="G270" s="2">
        <v>10901.77</v>
      </c>
      <c r="H270" t="s">
        <v>15</v>
      </c>
      <c r="I270" t="s">
        <v>627</v>
      </c>
      <c r="J270" s="2">
        <v>300.7</v>
      </c>
      <c r="K270" s="6" t="str">
        <f>I270&amp;J270</f>
        <v>02025008505999D0X.SI449454X46778300.7</v>
      </c>
      <c r="L270" s="4" t="str">
        <f>IF(COUNTIF(D:D,D270)&gt;1,"D","N")</f>
        <v>D</v>
      </c>
      <c r="M270" s="4">
        <f>COUNTIFS(D:D,D270,F:F,"UPDATED")</f>
        <v>0</v>
      </c>
      <c r="N270" s="4">
        <f>COUNTIFS(D:D,D270,F:F,"NOT UPDATED")</f>
        <v>17</v>
      </c>
      <c r="O270" s="4">
        <f>COUNTIF(D:D,D270)</f>
        <v>17</v>
      </c>
    </row>
    <row r="271" spans="1:15" hidden="1" x14ac:dyDescent="0.25">
      <c r="A271">
        <v>270</v>
      </c>
      <c r="B271" t="s">
        <v>341</v>
      </c>
      <c r="C271" s="1">
        <v>45798</v>
      </c>
      <c r="D271" t="s">
        <v>625</v>
      </c>
      <c r="E271" t="e">
        <v>#N/A</v>
      </c>
      <c r="F271" t="s">
        <v>11</v>
      </c>
      <c r="G271" s="2">
        <v>10901.77</v>
      </c>
      <c r="H271" t="s">
        <v>15</v>
      </c>
      <c r="I271" t="s">
        <v>628</v>
      </c>
      <c r="J271" s="2">
        <v>407.76</v>
      </c>
      <c r="K271" s="6" t="str">
        <f>I271&amp;J271</f>
        <v>02025008509728G0X.SI449455X46778407.76</v>
      </c>
      <c r="L271" s="4" t="str">
        <f>IF(COUNTIF(D:D,D271)&gt;1,"D","N")</f>
        <v>D</v>
      </c>
      <c r="M271" s="4">
        <f>COUNTIFS(D:D,D271,F:F,"UPDATED")</f>
        <v>0</v>
      </c>
      <c r="N271" s="4">
        <f>COUNTIFS(D:D,D271,F:F,"NOT UPDATED")</f>
        <v>17</v>
      </c>
      <c r="O271" s="4">
        <f>COUNTIF(D:D,D271)</f>
        <v>17</v>
      </c>
    </row>
    <row r="272" spans="1:15" hidden="1" x14ac:dyDescent="0.25">
      <c r="A272">
        <v>271</v>
      </c>
      <c r="B272" t="s">
        <v>341</v>
      </c>
      <c r="C272" s="1">
        <v>45798</v>
      </c>
      <c r="D272" t="s">
        <v>625</v>
      </c>
      <c r="E272" t="e">
        <v>#N/A</v>
      </c>
      <c r="F272" t="s">
        <v>11</v>
      </c>
      <c r="G272" s="2">
        <v>10901.77</v>
      </c>
      <c r="H272" t="s">
        <v>15</v>
      </c>
      <c r="I272" t="s">
        <v>629</v>
      </c>
      <c r="J272" s="2">
        <v>182.27</v>
      </c>
      <c r="K272" s="6" t="str">
        <f>I272&amp;J272</f>
        <v>02022258506Z7240X.SI36452X18314182.27</v>
      </c>
      <c r="L272" s="4" t="str">
        <f>IF(COUNTIF(D:D,D272)&gt;1,"D","N")</f>
        <v>D</v>
      </c>
      <c r="M272" s="4">
        <f>COUNTIFS(D:D,D272,F:F,"UPDATED")</f>
        <v>0</v>
      </c>
      <c r="N272" s="4">
        <f>COUNTIFS(D:D,D272,F:F,"NOT UPDATED")</f>
        <v>17</v>
      </c>
      <c r="O272" s="4">
        <f>COUNTIF(D:D,D272)</f>
        <v>17</v>
      </c>
    </row>
    <row r="273" spans="1:15" hidden="1" x14ac:dyDescent="0.25">
      <c r="A273">
        <v>272</v>
      </c>
      <c r="B273" t="s">
        <v>341</v>
      </c>
      <c r="C273" s="1">
        <v>45798</v>
      </c>
      <c r="D273" t="s">
        <v>625</v>
      </c>
      <c r="E273" t="e">
        <v>#N/A</v>
      </c>
      <c r="F273" t="s">
        <v>11</v>
      </c>
      <c r="G273" s="2">
        <v>10901.77</v>
      </c>
      <c r="H273" t="s">
        <v>15</v>
      </c>
      <c r="I273" t="s">
        <v>630</v>
      </c>
      <c r="J273" s="2">
        <v>161.07</v>
      </c>
      <c r="K273" s="6" t="str">
        <f>I273&amp;J273</f>
        <v>0202433850U37140X.SI444289X27172161.07</v>
      </c>
      <c r="L273" s="4" t="str">
        <f>IF(COUNTIF(D:D,D273)&gt;1,"D","N")</f>
        <v>D</v>
      </c>
      <c r="M273" s="4">
        <f>COUNTIFS(D:D,D273,F:F,"UPDATED")</f>
        <v>0</v>
      </c>
      <c r="N273" s="4">
        <f>COUNTIFS(D:D,D273,F:F,"NOT UPDATED")</f>
        <v>17</v>
      </c>
      <c r="O273" s="4">
        <f>COUNTIF(D:D,D273)</f>
        <v>17</v>
      </c>
    </row>
    <row r="274" spans="1:15" hidden="1" x14ac:dyDescent="0.25">
      <c r="A274">
        <v>273</v>
      </c>
      <c r="B274" t="s">
        <v>341</v>
      </c>
      <c r="C274" s="1">
        <v>45798</v>
      </c>
      <c r="D274" t="s">
        <v>625</v>
      </c>
      <c r="E274" t="e">
        <v>#N/A</v>
      </c>
      <c r="F274" t="s">
        <v>11</v>
      </c>
      <c r="G274" s="2">
        <v>10901.77</v>
      </c>
      <c r="H274" t="s">
        <v>15</v>
      </c>
      <c r="I274" t="s">
        <v>631</v>
      </c>
      <c r="J274" s="2">
        <v>71.98</v>
      </c>
      <c r="K274" s="6" t="str">
        <f>I274&amp;J274</f>
        <v>0202501650245D90X.SI467938X5980071.98</v>
      </c>
      <c r="L274" s="4" t="str">
        <f>IF(COUNTIF(D:D,D274)&gt;1,"D","N")</f>
        <v>D</v>
      </c>
      <c r="M274" s="4">
        <f>COUNTIFS(D:D,D274,F:F,"UPDATED")</f>
        <v>0</v>
      </c>
      <c r="N274" s="4">
        <f>COUNTIFS(D:D,D274,F:F,"NOT UPDATED")</f>
        <v>17</v>
      </c>
      <c r="O274" s="4">
        <f>COUNTIF(D:D,D274)</f>
        <v>17</v>
      </c>
    </row>
    <row r="275" spans="1:15" hidden="1" x14ac:dyDescent="0.25">
      <c r="A275">
        <v>274</v>
      </c>
      <c r="B275" t="s">
        <v>341</v>
      </c>
      <c r="C275" s="1">
        <v>45798</v>
      </c>
      <c r="D275" t="s">
        <v>625</v>
      </c>
      <c r="E275" t="e">
        <v>#N/A</v>
      </c>
      <c r="F275" t="s">
        <v>11</v>
      </c>
      <c r="G275" s="2">
        <v>10901.77</v>
      </c>
      <c r="H275" t="s">
        <v>15</v>
      </c>
      <c r="I275" t="s">
        <v>632</v>
      </c>
      <c r="J275" s="2">
        <v>303.89</v>
      </c>
      <c r="K275" s="6" t="str">
        <f>I275&amp;J275</f>
        <v>020241625043F740X.SI331196X71234303.89</v>
      </c>
      <c r="L275" s="4" t="str">
        <f>IF(COUNTIF(D:D,D275)&gt;1,"D","N")</f>
        <v>D</v>
      </c>
      <c r="M275" s="4">
        <f>COUNTIFS(D:D,D275,F:F,"UPDATED")</f>
        <v>0</v>
      </c>
      <c r="N275" s="4">
        <f>COUNTIFS(D:D,D275,F:F,"NOT UPDATED")</f>
        <v>17</v>
      </c>
      <c r="O275" s="4">
        <f>COUNTIF(D:D,D275)</f>
        <v>17</v>
      </c>
    </row>
    <row r="276" spans="1:15" hidden="1" x14ac:dyDescent="0.25">
      <c r="A276">
        <v>275</v>
      </c>
      <c r="B276" t="s">
        <v>341</v>
      </c>
      <c r="C276" s="1">
        <v>45798</v>
      </c>
      <c r="D276" t="s">
        <v>625</v>
      </c>
      <c r="E276" t="e">
        <v>#N/A</v>
      </c>
      <c r="F276" t="s">
        <v>11</v>
      </c>
      <c r="G276" s="2">
        <v>10901.77</v>
      </c>
      <c r="H276" t="s">
        <v>15</v>
      </c>
      <c r="I276" t="s">
        <v>633</v>
      </c>
      <c r="J276" s="2">
        <v>135.99</v>
      </c>
      <c r="K276" s="6" t="str">
        <f>I276&amp;J276</f>
        <v>0202500350702A00X.SI461931X41337135.99</v>
      </c>
      <c r="L276" s="4" t="str">
        <f>IF(COUNTIF(D:D,D276)&gt;1,"D","N")</f>
        <v>D</v>
      </c>
      <c r="M276" s="4">
        <f>COUNTIFS(D:D,D276,F:F,"UPDATED")</f>
        <v>0</v>
      </c>
      <c r="N276" s="4">
        <f>COUNTIFS(D:D,D276,F:F,"NOT UPDATED")</f>
        <v>17</v>
      </c>
      <c r="O276" s="4">
        <f>COUNTIF(D:D,D276)</f>
        <v>17</v>
      </c>
    </row>
    <row r="277" spans="1:15" hidden="1" x14ac:dyDescent="0.25">
      <c r="A277">
        <v>276</v>
      </c>
      <c r="B277" t="s">
        <v>341</v>
      </c>
      <c r="C277" s="1">
        <v>45798</v>
      </c>
      <c r="D277" t="s">
        <v>625</v>
      </c>
      <c r="E277" t="e">
        <v>#N/A</v>
      </c>
      <c r="F277" t="s">
        <v>11</v>
      </c>
      <c r="G277" s="2">
        <v>10901.77</v>
      </c>
      <c r="H277" t="s">
        <v>15</v>
      </c>
      <c r="I277" t="s">
        <v>634</v>
      </c>
      <c r="J277" s="2">
        <v>51.03</v>
      </c>
      <c r="K277" s="6" t="str">
        <f>I277&amp;J277</f>
        <v>02024257500790V0X.SI395123X4564451.03</v>
      </c>
      <c r="L277" s="4" t="str">
        <f>IF(COUNTIF(D:D,D277)&gt;1,"D","N")</f>
        <v>D</v>
      </c>
      <c r="M277" s="4">
        <f>COUNTIFS(D:D,D277,F:F,"UPDATED")</f>
        <v>0</v>
      </c>
      <c r="N277" s="4">
        <f>COUNTIFS(D:D,D277,F:F,"NOT UPDATED")</f>
        <v>17</v>
      </c>
      <c r="O277" s="4">
        <f>COUNTIF(D:D,D277)</f>
        <v>17</v>
      </c>
    </row>
    <row r="278" spans="1:15" hidden="1" x14ac:dyDescent="0.25">
      <c r="A278">
        <v>277</v>
      </c>
      <c r="B278" t="s">
        <v>341</v>
      </c>
      <c r="C278" s="1">
        <v>45798</v>
      </c>
      <c r="D278" t="s">
        <v>625</v>
      </c>
      <c r="E278" t="e">
        <v>#N/A</v>
      </c>
      <c r="F278" t="s">
        <v>11</v>
      </c>
      <c r="G278" s="2">
        <v>10901.77</v>
      </c>
      <c r="H278" t="s">
        <v>15</v>
      </c>
      <c r="I278" t="s">
        <v>635</v>
      </c>
      <c r="J278" s="2">
        <v>135.44</v>
      </c>
      <c r="K278" s="6" t="str">
        <f>I278&amp;J278</f>
        <v>020232755094X790X.SI204200X25053135.44</v>
      </c>
      <c r="L278" s="4" t="str">
        <f>IF(COUNTIF(D:D,D278)&gt;1,"D","N")</f>
        <v>D</v>
      </c>
      <c r="M278" s="4">
        <f>COUNTIFS(D:D,D278,F:F,"UPDATED")</f>
        <v>0</v>
      </c>
      <c r="N278" s="4">
        <f>COUNTIFS(D:D,D278,F:F,"NOT UPDATED")</f>
        <v>17</v>
      </c>
      <c r="O278" s="4">
        <f>COUNTIF(D:D,D278)</f>
        <v>17</v>
      </c>
    </row>
    <row r="279" spans="1:15" hidden="1" x14ac:dyDescent="0.25">
      <c r="A279">
        <v>278</v>
      </c>
      <c r="B279" t="s">
        <v>341</v>
      </c>
      <c r="C279" s="1">
        <v>45798</v>
      </c>
      <c r="D279" t="s">
        <v>625</v>
      </c>
      <c r="E279" t="e">
        <v>#N/A</v>
      </c>
      <c r="F279" t="s">
        <v>11</v>
      </c>
      <c r="G279" s="2">
        <v>10901.77</v>
      </c>
      <c r="H279" t="s">
        <v>15</v>
      </c>
      <c r="I279" t="s">
        <v>636</v>
      </c>
      <c r="J279" s="2">
        <v>129.66999999999999</v>
      </c>
      <c r="K279" s="6" t="str">
        <f>I279&amp;J279</f>
        <v>02023041508904Q0X.SI101682X31342129.67</v>
      </c>
      <c r="L279" s="4" t="str">
        <f>IF(COUNTIF(D:D,D279)&gt;1,"D","N")</f>
        <v>D</v>
      </c>
      <c r="M279" s="4">
        <f>COUNTIFS(D:D,D279,F:F,"UPDATED")</f>
        <v>0</v>
      </c>
      <c r="N279" s="4">
        <f>COUNTIFS(D:D,D279,F:F,"NOT UPDATED")</f>
        <v>17</v>
      </c>
      <c r="O279" s="4">
        <f>COUNTIF(D:D,D279)</f>
        <v>17</v>
      </c>
    </row>
    <row r="280" spans="1:15" hidden="1" x14ac:dyDescent="0.25">
      <c r="A280">
        <v>279</v>
      </c>
      <c r="B280" t="s">
        <v>341</v>
      </c>
      <c r="C280" s="1">
        <v>45798</v>
      </c>
      <c r="D280" t="s">
        <v>625</v>
      </c>
      <c r="E280" t="e">
        <v>#N/A</v>
      </c>
      <c r="F280" t="s">
        <v>11</v>
      </c>
      <c r="G280" s="2">
        <v>10901.77</v>
      </c>
      <c r="H280" t="s">
        <v>15</v>
      </c>
      <c r="I280" t="s">
        <v>637</v>
      </c>
      <c r="J280" s="2">
        <v>177.95</v>
      </c>
      <c r="K280" s="6" t="str">
        <f>I280&amp;J280</f>
        <v>020242415711T870X.SI374192X54876177.95</v>
      </c>
      <c r="L280" s="4" t="str">
        <f>IF(COUNTIF(D:D,D280)&gt;1,"D","N")</f>
        <v>D</v>
      </c>
      <c r="M280" s="4">
        <f>COUNTIFS(D:D,D280,F:F,"UPDATED")</f>
        <v>0</v>
      </c>
      <c r="N280" s="4">
        <f>COUNTIFS(D:D,D280,F:F,"NOT UPDATED")</f>
        <v>17</v>
      </c>
      <c r="O280" s="4">
        <f>COUNTIF(D:D,D280)</f>
        <v>17</v>
      </c>
    </row>
    <row r="281" spans="1:15" hidden="1" x14ac:dyDescent="0.25">
      <c r="A281">
        <v>280</v>
      </c>
      <c r="B281" t="s">
        <v>341</v>
      </c>
      <c r="C281" s="1">
        <v>45798</v>
      </c>
      <c r="D281" t="s">
        <v>625</v>
      </c>
      <c r="E281" t="e">
        <v>#N/A</v>
      </c>
      <c r="F281" t="s">
        <v>11</v>
      </c>
      <c r="G281" s="2">
        <v>10901.77</v>
      </c>
      <c r="H281" t="s">
        <v>15</v>
      </c>
      <c r="I281" t="s">
        <v>638</v>
      </c>
      <c r="J281" s="2">
        <v>154.85</v>
      </c>
      <c r="K281" s="6" t="str">
        <f>I281&amp;J281</f>
        <v>02023157506262W0X.SI152662X54047154.85</v>
      </c>
      <c r="L281" s="4" t="str">
        <f>IF(COUNTIF(D:D,D281)&gt;1,"D","N")</f>
        <v>D</v>
      </c>
      <c r="M281" s="4">
        <f>COUNTIFS(D:D,D281,F:F,"UPDATED")</f>
        <v>0</v>
      </c>
      <c r="N281" s="4">
        <f>COUNTIFS(D:D,D281,F:F,"NOT UPDATED")</f>
        <v>17</v>
      </c>
      <c r="O281" s="4">
        <f>COUNTIF(D:D,D281)</f>
        <v>17</v>
      </c>
    </row>
    <row r="282" spans="1:15" hidden="1" x14ac:dyDescent="0.25">
      <c r="A282">
        <v>281</v>
      </c>
      <c r="B282" t="s">
        <v>341</v>
      </c>
      <c r="C282" s="1">
        <v>45798</v>
      </c>
      <c r="D282" t="s">
        <v>625</v>
      </c>
      <c r="E282" t="e">
        <v>#N/A</v>
      </c>
      <c r="F282" t="s">
        <v>11</v>
      </c>
      <c r="G282" s="2">
        <v>10901.77</v>
      </c>
      <c r="H282" t="s">
        <v>29</v>
      </c>
      <c r="I282" t="s">
        <v>639</v>
      </c>
      <c r="J282" s="2">
        <v>-296.97000000000003</v>
      </c>
      <c r="K282" s="6" t="str">
        <f>I282&amp;J282</f>
        <v>0202336150856A80X00.SI247224X63158-296.97</v>
      </c>
      <c r="L282" s="4" t="str">
        <f>IF(COUNTIF(D:D,D282)&gt;1,"D","N")</f>
        <v>D</v>
      </c>
      <c r="M282" s="4">
        <f>COUNTIFS(D:D,D282,F:F,"UPDATED")</f>
        <v>0</v>
      </c>
      <c r="N282" s="4">
        <f>COUNTIFS(D:D,D282,F:F,"NOT UPDATED")</f>
        <v>17</v>
      </c>
      <c r="O282" s="4">
        <f>COUNTIF(D:D,D282)</f>
        <v>17</v>
      </c>
    </row>
    <row r="283" spans="1:15" x14ac:dyDescent="0.25">
      <c r="A283">
        <v>318</v>
      </c>
      <c r="B283" t="s">
        <v>693</v>
      </c>
      <c r="C283" s="1">
        <v>45804</v>
      </c>
      <c r="D283" t="s">
        <v>694</v>
      </c>
      <c r="E283" t="e">
        <v>#N/A</v>
      </c>
      <c r="F283" t="s">
        <v>11</v>
      </c>
      <c r="G283" s="2">
        <v>31.29</v>
      </c>
      <c r="H283" t="s">
        <v>678</v>
      </c>
      <c r="I283">
        <v>1191554360</v>
      </c>
      <c r="J283" s="2">
        <v>0.64</v>
      </c>
      <c r="K283" s="6" t="str">
        <f>I283&amp;J283</f>
        <v>11915543600.64</v>
      </c>
      <c r="L283" s="4" t="str">
        <f>IF(COUNTIF(D:D,D283)&gt;1,"D","N")</f>
        <v>N</v>
      </c>
      <c r="M283" s="4">
        <f>COUNTIFS(D:D,D283,F:F,"UPDATED")</f>
        <v>0</v>
      </c>
      <c r="N283" s="4">
        <f>COUNTIFS(D:D,D283,F:F,"NOT UPDATED")</f>
        <v>1</v>
      </c>
      <c r="O283" s="4">
        <f>COUNTIF(D:D,D283)</f>
        <v>1</v>
      </c>
    </row>
    <row r="284" spans="1:15" x14ac:dyDescent="0.25">
      <c r="A284">
        <v>359</v>
      </c>
      <c r="B284" t="s">
        <v>741</v>
      </c>
      <c r="C284" s="1">
        <v>45804</v>
      </c>
      <c r="D284">
        <v>1191554360</v>
      </c>
      <c r="E284" t="e">
        <v>#N/A</v>
      </c>
      <c r="F284" t="s">
        <v>11</v>
      </c>
      <c r="G284" s="2">
        <v>31.29</v>
      </c>
      <c r="H284" t="s">
        <v>678</v>
      </c>
      <c r="I284">
        <v>1191554360</v>
      </c>
      <c r="J284" s="2">
        <v>0.64</v>
      </c>
      <c r="K284" s="6" t="str">
        <f>I284&amp;J284</f>
        <v>11915543600.64</v>
      </c>
      <c r="L284" s="4" t="str">
        <f>IF(COUNTIF(D:D,D284)&gt;1,"D","N")</f>
        <v>N</v>
      </c>
      <c r="M284" s="4">
        <f>COUNTIFS(D:D,D284,F:F,"UPDATED")</f>
        <v>0</v>
      </c>
      <c r="N284" s="4">
        <f>COUNTIFS(D:D,D284,F:F,"NOT UPDATED")</f>
        <v>1</v>
      </c>
      <c r="O284" s="4">
        <f>COUNTIF(D:D,D284)</f>
        <v>1</v>
      </c>
    </row>
    <row r="285" spans="1:15" x14ac:dyDescent="0.25">
      <c r="A285">
        <v>340</v>
      </c>
      <c r="B285" t="s">
        <v>724</v>
      </c>
      <c r="C285" s="1">
        <v>45800</v>
      </c>
      <c r="D285" t="s">
        <v>728</v>
      </c>
      <c r="E285" t="e">
        <v>#N/A</v>
      </c>
      <c r="F285" t="s">
        <v>11</v>
      </c>
      <c r="G285" s="2">
        <v>0</v>
      </c>
      <c r="H285" t="s">
        <v>15</v>
      </c>
      <c r="I285" t="s">
        <v>647</v>
      </c>
      <c r="J285" s="2">
        <v>-129.75</v>
      </c>
      <c r="K285" s="6" t="str">
        <f>I285&amp;J285</f>
        <v>20250114 SI471016X83542-129.75</v>
      </c>
      <c r="L285" s="4" t="str">
        <f>IF(COUNTIF(D:D,D285)&gt;1,"D","N")</f>
        <v>D</v>
      </c>
      <c r="M285" s="4">
        <f>COUNTIFS(D:D,D285,F:F,"UPDATED")</f>
        <v>0</v>
      </c>
      <c r="N285" s="4">
        <f>COUNTIFS(D:D,D285,F:F,"NOT UPDATED")</f>
        <v>2</v>
      </c>
      <c r="O285" s="4">
        <f>COUNTIF(D:D,D285)</f>
        <v>2</v>
      </c>
    </row>
    <row r="286" spans="1:15" hidden="1" x14ac:dyDescent="0.25">
      <c r="A286">
        <v>285</v>
      </c>
      <c r="B286" t="s">
        <v>10</v>
      </c>
      <c r="C286" s="1">
        <v>45798</v>
      </c>
      <c r="D286">
        <v>800502572</v>
      </c>
      <c r="E286">
        <v>800502572</v>
      </c>
      <c r="F286" t="s">
        <v>339</v>
      </c>
      <c r="G286" s="2">
        <v>2447.71</v>
      </c>
      <c r="H286" t="s">
        <v>12</v>
      </c>
      <c r="I286" t="s">
        <v>643</v>
      </c>
      <c r="J286" s="2">
        <v>-96.09</v>
      </c>
      <c r="K286" s="6" t="str">
        <f>I286&amp;J286</f>
        <v>SI430395X95488-96.09</v>
      </c>
      <c r="L286" s="4" t="str">
        <f>IF(COUNTIF(D:D,D286)&gt;1,"D","N")</f>
        <v>D</v>
      </c>
      <c r="M286" s="4">
        <f>COUNTIFS(D:D,D286,F:F,"UPDATED")</f>
        <v>3</v>
      </c>
      <c r="N286" s="4">
        <f>COUNTIFS(D:D,D286,F:F,"NOT UPDATED")</f>
        <v>0</v>
      </c>
      <c r="O286" s="4">
        <f>COUNTIF(D:D,D286)</f>
        <v>3</v>
      </c>
    </row>
    <row r="287" spans="1:15" hidden="1" x14ac:dyDescent="0.25">
      <c r="A287">
        <v>286</v>
      </c>
      <c r="B287" t="s">
        <v>10</v>
      </c>
      <c r="C287" s="1">
        <v>45798</v>
      </c>
      <c r="D287">
        <v>800502572</v>
      </c>
      <c r="E287">
        <v>800502572</v>
      </c>
      <c r="F287" t="s">
        <v>339</v>
      </c>
      <c r="G287" s="2">
        <v>2447.71</v>
      </c>
      <c r="H287" t="s">
        <v>12</v>
      </c>
      <c r="I287" t="s">
        <v>644</v>
      </c>
      <c r="J287" s="2">
        <v>-140.28</v>
      </c>
      <c r="K287" s="6" t="str">
        <f>I287&amp;J287</f>
        <v>SI430394X95488-140.28</v>
      </c>
      <c r="L287" s="4" t="str">
        <f>IF(COUNTIF(D:D,D287)&gt;1,"D","N")</f>
        <v>D</v>
      </c>
      <c r="M287" s="4">
        <f>COUNTIFS(D:D,D287,F:F,"UPDATED")</f>
        <v>3</v>
      </c>
      <c r="N287" s="4">
        <f>COUNTIFS(D:D,D287,F:F,"NOT UPDATED")</f>
        <v>0</v>
      </c>
      <c r="O287" s="4">
        <f>COUNTIF(D:D,D287)</f>
        <v>3</v>
      </c>
    </row>
    <row r="288" spans="1:15" hidden="1" x14ac:dyDescent="0.25">
      <c r="A288">
        <v>287</v>
      </c>
      <c r="B288" t="s">
        <v>10</v>
      </c>
      <c r="C288" s="1">
        <v>45798</v>
      </c>
      <c r="D288">
        <v>800502572</v>
      </c>
      <c r="E288">
        <v>800502572</v>
      </c>
      <c r="F288" t="s">
        <v>339</v>
      </c>
      <c r="G288" s="2">
        <v>2447.71</v>
      </c>
      <c r="H288" t="s">
        <v>12</v>
      </c>
      <c r="I288" t="s">
        <v>645</v>
      </c>
      <c r="J288" s="2">
        <v>-147.54</v>
      </c>
      <c r="K288" s="6" t="str">
        <f>I288&amp;J288</f>
        <v>SI434873X95488-147.54</v>
      </c>
      <c r="L288" s="4" t="str">
        <f>IF(COUNTIF(D:D,D288)&gt;1,"D","N")</f>
        <v>D</v>
      </c>
      <c r="M288" s="4">
        <f>COUNTIFS(D:D,D288,F:F,"UPDATED")</f>
        <v>3</v>
      </c>
      <c r="N288" s="4">
        <f>COUNTIFS(D:D,D288,F:F,"NOT UPDATED")</f>
        <v>0</v>
      </c>
      <c r="O288" s="4">
        <f>COUNTIF(D:D,D288)</f>
        <v>3</v>
      </c>
    </row>
    <row r="289" spans="1:15" hidden="1" x14ac:dyDescent="0.25">
      <c r="A289">
        <v>288</v>
      </c>
      <c r="B289" t="s">
        <v>111</v>
      </c>
      <c r="C289" s="1">
        <v>45798</v>
      </c>
      <c r="D289" t="s">
        <v>646</v>
      </c>
      <c r="E289" t="e">
        <v>#N/A</v>
      </c>
      <c r="F289" t="s">
        <v>11</v>
      </c>
      <c r="G289" s="2">
        <v>228.8</v>
      </c>
      <c r="H289" t="s">
        <v>15</v>
      </c>
      <c r="I289" t="s">
        <v>647</v>
      </c>
      <c r="J289" s="2">
        <v>129.75</v>
      </c>
      <c r="K289" s="6" t="str">
        <f>I289&amp;J289</f>
        <v>20250114 SI471016X83542129.75</v>
      </c>
      <c r="L289" s="4" t="str">
        <f>IF(COUNTIF(D:D,D289)&gt;1,"D","N")</f>
        <v>N</v>
      </c>
      <c r="M289" s="4">
        <f>COUNTIFS(D:D,D289,F:F,"UPDATED")</f>
        <v>0</v>
      </c>
      <c r="N289" s="4">
        <f>COUNTIFS(D:D,D289,F:F,"NOT UPDATED")</f>
        <v>1</v>
      </c>
      <c r="O289" s="4">
        <f>COUNTIF(D:D,D289)</f>
        <v>1</v>
      </c>
    </row>
    <row r="290" spans="1:15" x14ac:dyDescent="0.25">
      <c r="A290">
        <v>374</v>
      </c>
      <c r="B290" t="s">
        <v>111</v>
      </c>
      <c r="C290" s="1">
        <v>45800</v>
      </c>
      <c r="D290" t="s">
        <v>745</v>
      </c>
      <c r="E290" t="e">
        <v>#N/A</v>
      </c>
      <c r="F290" t="s">
        <v>11</v>
      </c>
      <c r="G290" s="2">
        <v>0</v>
      </c>
      <c r="H290" t="s">
        <v>15</v>
      </c>
      <c r="I290" t="s">
        <v>647</v>
      </c>
      <c r="J290" s="2">
        <v>-129.75</v>
      </c>
      <c r="K290" s="6" t="str">
        <f>I290&amp;J290</f>
        <v>20250114 SI471016X83542-129.75</v>
      </c>
      <c r="L290" s="4" t="str">
        <f>IF(COUNTIF(D:D,D290)&gt;1,"D","N")</f>
        <v>N</v>
      </c>
      <c r="M290" s="4">
        <f>COUNTIFS(D:D,D290,F:F,"UPDATED")</f>
        <v>0</v>
      </c>
      <c r="N290" s="4">
        <f>COUNTIFS(D:D,D290,F:F,"NOT UPDATED")</f>
        <v>1</v>
      </c>
      <c r="O290" s="4">
        <f>COUNTIF(D:D,D290)</f>
        <v>1</v>
      </c>
    </row>
    <row r="291" spans="1:15" x14ac:dyDescent="0.25">
      <c r="A291">
        <v>341</v>
      </c>
      <c r="B291" t="s">
        <v>724</v>
      </c>
      <c r="C291" s="1">
        <v>45800</v>
      </c>
      <c r="D291" t="s">
        <v>728</v>
      </c>
      <c r="E291" t="e">
        <v>#N/A</v>
      </c>
      <c r="F291" t="s">
        <v>11</v>
      </c>
      <c r="G291" s="2">
        <v>0</v>
      </c>
      <c r="H291" t="s">
        <v>15</v>
      </c>
      <c r="I291" t="s">
        <v>729</v>
      </c>
      <c r="J291" s="2">
        <v>-80.38</v>
      </c>
      <c r="K291" s="6" t="str">
        <f>I291&amp;J291</f>
        <v>20250413 SI532217X78016-80.38</v>
      </c>
      <c r="L291" s="4" t="str">
        <f>IF(COUNTIF(D:D,D291)&gt;1,"D","N")</f>
        <v>D</v>
      </c>
      <c r="M291" s="4">
        <f>COUNTIFS(D:D,D291,F:F,"UPDATED")</f>
        <v>0</v>
      </c>
      <c r="N291" s="4">
        <f>COUNTIFS(D:D,D291,F:F,"NOT UPDATED")</f>
        <v>2</v>
      </c>
      <c r="O291" s="4">
        <f>COUNTIF(D:D,D291)</f>
        <v>2</v>
      </c>
    </row>
    <row r="292" spans="1:15" x14ac:dyDescent="0.25">
      <c r="A292">
        <v>375</v>
      </c>
      <c r="B292" t="s">
        <v>94</v>
      </c>
      <c r="C292" s="1">
        <v>45799</v>
      </c>
      <c r="D292" t="s">
        <v>746</v>
      </c>
      <c r="E292" t="e">
        <v>#N/A</v>
      </c>
      <c r="F292" t="s">
        <v>11</v>
      </c>
      <c r="G292" s="2">
        <v>0</v>
      </c>
      <c r="H292" t="s">
        <v>15</v>
      </c>
      <c r="I292" t="s">
        <v>729</v>
      </c>
      <c r="J292" s="2">
        <v>-80.38</v>
      </c>
      <c r="K292" s="6" t="str">
        <f>I292&amp;J292</f>
        <v>20250413 SI532217X78016-80.38</v>
      </c>
      <c r="L292" s="4" t="str">
        <f>IF(COUNTIF(D:D,D292)&gt;1,"D","N")</f>
        <v>N</v>
      </c>
      <c r="M292" s="4">
        <f>COUNTIFS(D:D,D292,F:F,"UPDATED")</f>
        <v>0</v>
      </c>
      <c r="N292" s="4">
        <f>COUNTIFS(D:D,D292,F:F,"NOT UPDATED")</f>
        <v>1</v>
      </c>
      <c r="O292" s="4">
        <f>COUNTIF(D:D,D292)</f>
        <v>1</v>
      </c>
    </row>
    <row r="293" spans="1:15" x14ac:dyDescent="0.25">
      <c r="A293">
        <v>317</v>
      </c>
      <c r="B293" t="s">
        <v>111</v>
      </c>
      <c r="C293" s="1">
        <v>45805</v>
      </c>
      <c r="D293" t="s">
        <v>691</v>
      </c>
      <c r="E293" t="e">
        <v>#N/A</v>
      </c>
      <c r="F293" t="s">
        <v>11</v>
      </c>
      <c r="G293" s="2">
        <v>3427.34</v>
      </c>
      <c r="H293" t="s">
        <v>15</v>
      </c>
      <c r="I293" t="s">
        <v>692</v>
      </c>
      <c r="J293" s="2">
        <v>-16.36</v>
      </c>
      <c r="K293" s="6" t="str">
        <f>I293&amp;J293</f>
        <v>20250423 SI529232X88718-16.36</v>
      </c>
      <c r="L293" s="4" t="str">
        <f>IF(COUNTIF(D:D,D293)&gt;1,"D","N")</f>
        <v>N</v>
      </c>
      <c r="M293" s="4">
        <f>COUNTIFS(D:D,D293,F:F,"UPDATED")</f>
        <v>0</v>
      </c>
      <c r="N293" s="4">
        <f>COUNTIFS(D:D,D293,F:F,"NOT UPDATED")</f>
        <v>1</v>
      </c>
      <c r="O293" s="4">
        <f>COUNTIF(D:D,D293)</f>
        <v>1</v>
      </c>
    </row>
    <row r="294" spans="1:15" hidden="1" x14ac:dyDescent="0.25">
      <c r="A294">
        <v>293</v>
      </c>
      <c r="B294" t="s">
        <v>341</v>
      </c>
      <c r="C294" s="1">
        <v>45799</v>
      </c>
      <c r="D294" t="s">
        <v>653</v>
      </c>
      <c r="E294" t="e">
        <v>#N/A</v>
      </c>
      <c r="F294" t="s">
        <v>11</v>
      </c>
      <c r="G294" s="2">
        <v>17001.900000000001</v>
      </c>
      <c r="H294" t="s">
        <v>29</v>
      </c>
      <c r="I294" t="s">
        <v>654</v>
      </c>
      <c r="J294" s="2">
        <v>-132.59</v>
      </c>
      <c r="K294" s="6" t="str">
        <f>I294&amp;J294</f>
        <v>0202507390002350C01.SI384899X89831-132.59</v>
      </c>
      <c r="L294" s="4" t="str">
        <f>IF(COUNTIF(D:D,D294)&gt;1,"D","N")</f>
        <v>N</v>
      </c>
      <c r="M294" s="4">
        <f>COUNTIFS(D:D,D294,F:F,"UPDATED")</f>
        <v>0</v>
      </c>
      <c r="N294" s="4">
        <f>COUNTIFS(D:D,D294,F:F,"NOT UPDATED")</f>
        <v>1</v>
      </c>
      <c r="O294" s="4">
        <f>COUNTIF(D:D,D294)</f>
        <v>1</v>
      </c>
    </row>
    <row r="295" spans="1:15" hidden="1" x14ac:dyDescent="0.25">
      <c r="A295">
        <v>294</v>
      </c>
      <c r="B295" t="s">
        <v>111</v>
      </c>
      <c r="C295" s="1">
        <v>45799</v>
      </c>
      <c r="D295" t="s">
        <v>655</v>
      </c>
      <c r="E295" t="e">
        <v>#N/A</v>
      </c>
      <c r="F295" t="s">
        <v>11</v>
      </c>
      <c r="G295" s="2">
        <v>0</v>
      </c>
      <c r="H295" t="s">
        <v>15</v>
      </c>
      <c r="I295" t="s">
        <v>590</v>
      </c>
      <c r="J295" s="2">
        <v>-390.03</v>
      </c>
      <c r="K295" s="6" t="str">
        <f>I295&amp;J295</f>
        <v>20250211 SI484493X101666-390.03</v>
      </c>
      <c r="L295" s="4" t="str">
        <f>IF(COUNTIF(D:D,D295)&gt;1,"D","N")</f>
        <v>N</v>
      </c>
      <c r="M295" s="4">
        <f>COUNTIFS(D:D,D295,F:F,"UPDATED")</f>
        <v>0</v>
      </c>
      <c r="N295" s="4">
        <f>COUNTIFS(D:D,D295,F:F,"NOT UPDATED")</f>
        <v>1</v>
      </c>
      <c r="O295" s="4">
        <f>COUNTIF(D:D,D295)</f>
        <v>1</v>
      </c>
    </row>
    <row r="296" spans="1:15" hidden="1" x14ac:dyDescent="0.25">
      <c r="A296">
        <v>295</v>
      </c>
      <c r="B296" t="s">
        <v>341</v>
      </c>
      <c r="C296" s="1">
        <v>45807</v>
      </c>
      <c r="D296" t="s">
        <v>656</v>
      </c>
      <c r="E296" t="e">
        <v>#N/A</v>
      </c>
      <c r="F296" t="s">
        <v>11</v>
      </c>
      <c r="G296" s="2">
        <v>12777.47</v>
      </c>
      <c r="H296" t="s">
        <v>29</v>
      </c>
      <c r="I296" t="s">
        <v>657</v>
      </c>
      <c r="J296" s="2">
        <v>-333.81</v>
      </c>
      <c r="K296" s="6" t="str">
        <f>I296&amp;J296</f>
        <v>020241835059Q860X00.SI347904X76163-333.81</v>
      </c>
      <c r="L296" s="4" t="str">
        <f>IF(COUNTIF(D:D,D296)&gt;1,"D","N")</f>
        <v>N</v>
      </c>
      <c r="M296" s="4">
        <f>COUNTIFS(D:D,D296,F:F,"UPDATED")</f>
        <v>0</v>
      </c>
      <c r="N296" s="4">
        <f>COUNTIFS(D:D,D296,F:F,"NOT UPDATED")</f>
        <v>1</v>
      </c>
      <c r="O296" s="4">
        <f>COUNTIF(D:D,D296)</f>
        <v>1</v>
      </c>
    </row>
    <row r="297" spans="1:15" hidden="1" x14ac:dyDescent="0.25">
      <c r="A297">
        <v>296</v>
      </c>
      <c r="B297" t="s">
        <v>341</v>
      </c>
      <c r="C297" s="1">
        <v>45807</v>
      </c>
      <c r="D297" t="s">
        <v>658</v>
      </c>
      <c r="E297" t="e">
        <v>#N/A</v>
      </c>
      <c r="F297" t="s">
        <v>11</v>
      </c>
      <c r="G297" s="2">
        <v>50</v>
      </c>
      <c r="H297" t="s">
        <v>15</v>
      </c>
      <c r="I297" t="s">
        <v>659</v>
      </c>
      <c r="J297" s="2">
        <v>39.450000000000003</v>
      </c>
      <c r="K297" s="6" t="str">
        <f>I297&amp;J297</f>
        <v>02024236500796S0X.SI381954X7447939.45</v>
      </c>
      <c r="L297" s="4" t="str">
        <f>IF(COUNTIF(D:D,D297)&gt;1,"D","N")</f>
        <v>D</v>
      </c>
      <c r="M297" s="4">
        <f>COUNTIFS(D:D,D297,F:F,"UPDATED")</f>
        <v>0</v>
      </c>
      <c r="N297" s="4">
        <f>COUNTIFS(D:D,D297,F:F,"NOT UPDATED")</f>
        <v>5</v>
      </c>
      <c r="O297" s="4">
        <f>COUNTIF(D:D,D297)</f>
        <v>5</v>
      </c>
    </row>
    <row r="298" spans="1:15" hidden="1" x14ac:dyDescent="0.25">
      <c r="A298">
        <v>297</v>
      </c>
      <c r="B298" t="s">
        <v>341</v>
      </c>
      <c r="C298" s="1">
        <v>45807</v>
      </c>
      <c r="D298" t="s">
        <v>658</v>
      </c>
      <c r="E298" t="e">
        <v>#N/A</v>
      </c>
      <c r="F298" t="s">
        <v>11</v>
      </c>
      <c r="G298" s="2">
        <v>50</v>
      </c>
      <c r="H298" t="s">
        <v>15</v>
      </c>
      <c r="I298" t="s">
        <v>651</v>
      </c>
      <c r="J298" s="2">
        <v>15.44</v>
      </c>
      <c r="K298" s="6" t="str">
        <f>I298&amp;J298</f>
        <v>0202423550Z48880X.SI381091X5915715.44</v>
      </c>
      <c r="L298" s="4" t="str">
        <f>IF(COUNTIF(D:D,D298)&gt;1,"D","N")</f>
        <v>D</v>
      </c>
      <c r="M298" s="4">
        <f>COUNTIFS(D:D,D298,F:F,"UPDATED")</f>
        <v>0</v>
      </c>
      <c r="N298" s="4">
        <f>COUNTIFS(D:D,D298,F:F,"NOT UPDATED")</f>
        <v>5</v>
      </c>
      <c r="O298" s="4">
        <f>COUNTIF(D:D,D298)</f>
        <v>5</v>
      </c>
    </row>
    <row r="299" spans="1:15" hidden="1" x14ac:dyDescent="0.25">
      <c r="A299">
        <v>298</v>
      </c>
      <c r="B299" t="s">
        <v>341</v>
      </c>
      <c r="C299" s="1">
        <v>45807</v>
      </c>
      <c r="D299" t="s">
        <v>658</v>
      </c>
      <c r="E299" t="e">
        <v>#N/A</v>
      </c>
      <c r="F299" t="s">
        <v>11</v>
      </c>
      <c r="G299" s="2">
        <v>50</v>
      </c>
      <c r="H299" t="s">
        <v>29</v>
      </c>
      <c r="I299" t="s">
        <v>660</v>
      </c>
      <c r="J299" s="2">
        <v>-218.38</v>
      </c>
      <c r="K299" s="6" t="str">
        <f>I299&amp;J299</f>
        <v>8.020242625053H870X00.SI397346X10219-218.38</v>
      </c>
      <c r="L299" s="4" t="str">
        <f>IF(COUNTIF(D:D,D299)&gt;1,"D","N")</f>
        <v>D</v>
      </c>
      <c r="M299" s="4">
        <f>COUNTIFS(D:D,D299,F:F,"UPDATED")</f>
        <v>0</v>
      </c>
      <c r="N299" s="4">
        <f>COUNTIFS(D:D,D299,F:F,"NOT UPDATED")</f>
        <v>5</v>
      </c>
      <c r="O299" s="4">
        <f>COUNTIF(D:D,D299)</f>
        <v>5</v>
      </c>
    </row>
    <row r="300" spans="1:15" hidden="1" x14ac:dyDescent="0.25">
      <c r="A300">
        <v>299</v>
      </c>
      <c r="B300" t="s">
        <v>341</v>
      </c>
      <c r="C300" s="1">
        <v>45807</v>
      </c>
      <c r="D300" t="s">
        <v>658</v>
      </c>
      <c r="E300" t="e">
        <v>#N/A</v>
      </c>
      <c r="F300" t="s">
        <v>11</v>
      </c>
      <c r="G300" s="2">
        <v>50</v>
      </c>
      <c r="H300" t="s">
        <v>29</v>
      </c>
      <c r="I300" t="s">
        <v>661</v>
      </c>
      <c r="J300" s="2">
        <v>-205.08</v>
      </c>
      <c r="K300" s="6" t="str">
        <f>I300&amp;J300</f>
        <v>8.02024257501208U0X00.SI394084X52997-205.08</v>
      </c>
      <c r="L300" s="4" t="str">
        <f>IF(COUNTIF(D:D,D300)&gt;1,"D","N")</f>
        <v>D</v>
      </c>
      <c r="M300" s="4">
        <f>COUNTIFS(D:D,D300,F:F,"UPDATED")</f>
        <v>0</v>
      </c>
      <c r="N300" s="4">
        <f>COUNTIFS(D:D,D300,F:F,"NOT UPDATED")</f>
        <v>5</v>
      </c>
      <c r="O300" s="4">
        <f>COUNTIF(D:D,D300)</f>
        <v>5</v>
      </c>
    </row>
    <row r="301" spans="1:15" hidden="1" x14ac:dyDescent="0.25">
      <c r="A301">
        <v>300</v>
      </c>
      <c r="B301" t="s">
        <v>341</v>
      </c>
      <c r="C301" s="1">
        <v>45807</v>
      </c>
      <c r="D301" t="s">
        <v>658</v>
      </c>
      <c r="E301" t="e">
        <v>#N/A</v>
      </c>
      <c r="F301" t="s">
        <v>11</v>
      </c>
      <c r="G301" s="2">
        <v>50</v>
      </c>
      <c r="H301" t="s">
        <v>29</v>
      </c>
      <c r="I301" t="s">
        <v>662</v>
      </c>
      <c r="J301" s="2">
        <v>-35.33</v>
      </c>
      <c r="K301" s="6" t="str">
        <f>I301&amp;J301</f>
        <v>8.02024284504586W0X00.SI413551X77419-35.33</v>
      </c>
      <c r="L301" s="4" t="str">
        <f>IF(COUNTIF(D:D,D301)&gt;1,"D","N")</f>
        <v>D</v>
      </c>
      <c r="M301" s="4">
        <f>COUNTIFS(D:D,D301,F:F,"UPDATED")</f>
        <v>0</v>
      </c>
      <c r="N301" s="4">
        <f>COUNTIFS(D:D,D301,F:F,"NOT UPDATED")</f>
        <v>5</v>
      </c>
      <c r="O301" s="4">
        <f>COUNTIF(D:D,D301)</f>
        <v>5</v>
      </c>
    </row>
    <row r="302" spans="1:15" x14ac:dyDescent="0.25">
      <c r="A302">
        <v>358</v>
      </c>
      <c r="B302" t="s">
        <v>111</v>
      </c>
      <c r="C302" s="1">
        <v>45805</v>
      </c>
      <c r="D302" t="s">
        <v>740</v>
      </c>
      <c r="E302" t="s">
        <v>740</v>
      </c>
      <c r="F302" t="s">
        <v>339</v>
      </c>
      <c r="G302" s="2">
        <v>3427.34</v>
      </c>
      <c r="H302" t="s">
        <v>15</v>
      </c>
      <c r="I302" t="s">
        <v>692</v>
      </c>
      <c r="J302" s="2">
        <v>-16.36</v>
      </c>
      <c r="K302" s="6" t="str">
        <f>I302&amp;J302</f>
        <v>20250423 SI529232X88718-16.36</v>
      </c>
      <c r="L302" s="4" t="str">
        <f>IF(COUNTIF(D:D,D302)&gt;1,"D","N")</f>
        <v>N</v>
      </c>
      <c r="M302" s="4">
        <f>COUNTIFS(D:D,D302,F:F,"UPDATED")</f>
        <v>1</v>
      </c>
      <c r="N302" s="4">
        <f>COUNTIFS(D:D,D302,F:F,"NOT UPDATED")</f>
        <v>0</v>
      </c>
      <c r="O302" s="4">
        <f>COUNTIF(D:D,D302)</f>
        <v>1</v>
      </c>
    </row>
    <row r="303" spans="1:15" hidden="1" x14ac:dyDescent="0.25">
      <c r="A303">
        <v>302</v>
      </c>
      <c r="B303" t="s">
        <v>666</v>
      </c>
      <c r="C303" s="1">
        <v>45807</v>
      </c>
      <c r="D303">
        <v>678958852</v>
      </c>
      <c r="E303" t="e">
        <v>#N/A</v>
      </c>
      <c r="F303" t="s">
        <v>11</v>
      </c>
      <c r="G303" t="s">
        <v>667</v>
      </c>
      <c r="H303" t="s">
        <v>131</v>
      </c>
      <c r="I303" t="s">
        <v>668</v>
      </c>
      <c r="J303" s="2">
        <v>-1.61</v>
      </c>
      <c r="K303" s="6" t="str">
        <f>I303&amp;J303</f>
        <v>25143B100001121500-1.61</v>
      </c>
      <c r="L303" s="4" t="str">
        <f>IF(COUNTIF(D:D,D303)&gt;1,"D","N")</f>
        <v>N</v>
      </c>
      <c r="M303" s="4">
        <f>COUNTIFS(D:D,D303,F:F,"UPDATED")</f>
        <v>0</v>
      </c>
      <c r="N303" s="4">
        <f>COUNTIFS(D:D,D303,F:F,"NOT UPDATED")</f>
        <v>1</v>
      </c>
      <c r="O303" s="4">
        <f>COUNTIF(D:D,D303)</f>
        <v>1</v>
      </c>
    </row>
    <row r="304" spans="1:15" hidden="1" x14ac:dyDescent="0.25">
      <c r="A304">
        <v>303</v>
      </c>
      <c r="B304" t="s">
        <v>341</v>
      </c>
      <c r="C304" t="s">
        <v>669</v>
      </c>
      <c r="D304" t="s">
        <v>670</v>
      </c>
      <c r="E304" t="e">
        <v>#N/A</v>
      </c>
      <c r="F304" t="s">
        <v>11</v>
      </c>
      <c r="G304" s="2">
        <v>20216.91</v>
      </c>
      <c r="H304" t="s">
        <v>29</v>
      </c>
      <c r="I304" t="s">
        <v>671</v>
      </c>
      <c r="J304" s="2">
        <v>-94.63</v>
      </c>
      <c r="K304" s="6" t="str">
        <f>I304&amp;J304</f>
        <v>02025070504076V0X00.SI501200X94189-94.63</v>
      </c>
      <c r="L304" s="4" t="str">
        <f>IF(COUNTIF(D:D,D304)&gt;1,"D","N")</f>
        <v>N</v>
      </c>
      <c r="M304" s="4">
        <f>COUNTIFS(D:D,D304,F:F,"UPDATED")</f>
        <v>0</v>
      </c>
      <c r="N304" s="4">
        <f>COUNTIFS(D:D,D304,F:F,"NOT UPDATED")</f>
        <v>1</v>
      </c>
      <c r="O304" s="4">
        <f>COUNTIF(D:D,D304)</f>
        <v>1</v>
      </c>
    </row>
    <row r="305" spans="1:15" x14ac:dyDescent="0.25">
      <c r="A305">
        <v>86</v>
      </c>
      <c r="B305" t="s">
        <v>341</v>
      </c>
      <c r="C305" s="1">
        <v>45784</v>
      </c>
      <c r="D305" t="s">
        <v>439</v>
      </c>
      <c r="E305" t="e">
        <v>#N/A</v>
      </c>
      <c r="F305" t="s">
        <v>11</v>
      </c>
      <c r="G305" s="2">
        <v>0</v>
      </c>
      <c r="H305" t="s">
        <v>29</v>
      </c>
      <c r="I305" t="s">
        <v>440</v>
      </c>
      <c r="J305" s="2">
        <v>-16.53</v>
      </c>
      <c r="K305" s="6" t="str">
        <f>I305&amp;J305</f>
        <v>8.02024032509Y8850X01.SI256897X8994-16.53</v>
      </c>
      <c r="L305" s="4" t="str">
        <f>IF(COUNTIF(D:D,D305)&gt;1,"D","N")</f>
        <v>D</v>
      </c>
      <c r="M305" s="4">
        <f>COUNTIFS(D:D,D305,F:F,"UPDATED")</f>
        <v>0</v>
      </c>
      <c r="N305" s="4">
        <f>COUNTIFS(D:D,D305,F:F,"NOT UPDATED")</f>
        <v>36</v>
      </c>
      <c r="O305" s="4">
        <f>COUNTIF(D:D,D305)</f>
        <v>36</v>
      </c>
    </row>
    <row r="306" spans="1:15" x14ac:dyDescent="0.25">
      <c r="A306">
        <v>104</v>
      </c>
      <c r="B306" t="s">
        <v>341</v>
      </c>
      <c r="C306" s="1">
        <v>45784</v>
      </c>
      <c r="D306" t="s">
        <v>439</v>
      </c>
      <c r="E306" t="e">
        <v>#N/A</v>
      </c>
      <c r="F306" t="s">
        <v>11</v>
      </c>
      <c r="G306" s="2">
        <v>0</v>
      </c>
      <c r="H306" t="s">
        <v>29</v>
      </c>
      <c r="I306" t="s">
        <v>440</v>
      </c>
      <c r="J306" s="2">
        <v>-16.53</v>
      </c>
      <c r="K306" s="6" t="str">
        <f>I306&amp;J306</f>
        <v>8.02024032509Y8850X01.SI256897X8994-16.53</v>
      </c>
      <c r="L306" s="4" t="str">
        <f>IF(COUNTIF(D:D,D306)&gt;1,"D","N")</f>
        <v>D</v>
      </c>
      <c r="M306" s="4">
        <f>COUNTIFS(D:D,D306,F:F,"UPDATED")</f>
        <v>0</v>
      </c>
      <c r="N306" s="4">
        <f>COUNTIFS(D:D,D306,F:F,"NOT UPDATED")</f>
        <v>36</v>
      </c>
      <c r="O306" s="4">
        <f>COUNTIF(D:D,D306)</f>
        <v>36</v>
      </c>
    </row>
    <row r="307" spans="1:15" hidden="1" x14ac:dyDescent="0.25">
      <c r="A307">
        <v>306</v>
      </c>
      <c r="B307" t="s">
        <v>422</v>
      </c>
      <c r="C307" s="1">
        <v>45806</v>
      </c>
      <c r="D307" t="s">
        <v>675</v>
      </c>
      <c r="E307" t="e">
        <v>#N/A</v>
      </c>
      <c r="F307" t="s">
        <v>11</v>
      </c>
      <c r="G307" s="2">
        <v>0</v>
      </c>
      <c r="H307" t="s">
        <v>15</v>
      </c>
      <c r="I307" t="s">
        <v>676</v>
      </c>
      <c r="J307" s="2">
        <v>-17.89</v>
      </c>
      <c r="K307" s="6" t="str">
        <f>I307&amp;J307</f>
        <v>SI537350X86630-17.89</v>
      </c>
      <c r="L307" s="4" t="str">
        <f>IF(COUNTIF(D:D,D307)&gt;1,"D","N")</f>
        <v>N</v>
      </c>
      <c r="M307" s="4">
        <f>COUNTIFS(D:D,D307,F:F,"UPDATED")</f>
        <v>0</v>
      </c>
      <c r="N307" s="4">
        <f>COUNTIFS(D:D,D307,F:F,"NOT UPDATED")</f>
        <v>1</v>
      </c>
      <c r="O307" s="4">
        <f>COUNTIF(D:D,D307)</f>
        <v>1</v>
      </c>
    </row>
    <row r="308" spans="1:15" hidden="1" x14ac:dyDescent="0.25">
      <c r="A308">
        <v>307</v>
      </c>
      <c r="B308" t="s">
        <v>677</v>
      </c>
      <c r="C308" s="1">
        <v>45806</v>
      </c>
      <c r="D308">
        <v>1191930418</v>
      </c>
      <c r="E308" t="e">
        <v>#N/A</v>
      </c>
      <c r="F308" t="s">
        <v>11</v>
      </c>
      <c r="G308" s="2">
        <v>0</v>
      </c>
      <c r="H308" t="s">
        <v>678</v>
      </c>
      <c r="I308">
        <v>1191930418</v>
      </c>
      <c r="J308" s="2">
        <v>3.27</v>
      </c>
      <c r="K308" s="6" t="str">
        <f>I308&amp;J308</f>
        <v>11919304183.27</v>
      </c>
      <c r="L308" s="4" t="str">
        <f>IF(COUNTIF(D:D,D308)&gt;1,"D","N")</f>
        <v>N</v>
      </c>
      <c r="M308" s="4">
        <f>COUNTIFS(D:D,D308,F:F,"UPDATED")</f>
        <v>0</v>
      </c>
      <c r="N308" s="4">
        <f>COUNTIFS(D:D,D308,F:F,"NOT UPDATED")</f>
        <v>1</v>
      </c>
      <c r="O308" s="4">
        <f>COUNTIF(D:D,D308)</f>
        <v>1</v>
      </c>
    </row>
    <row r="309" spans="1:15" hidden="1" x14ac:dyDescent="0.25">
      <c r="A309">
        <v>308</v>
      </c>
      <c r="B309" t="s">
        <v>677</v>
      </c>
      <c r="C309" s="1">
        <v>45806</v>
      </c>
      <c r="D309">
        <v>1191930417</v>
      </c>
      <c r="E309" t="e">
        <v>#N/A</v>
      </c>
      <c r="F309" t="s">
        <v>11</v>
      </c>
      <c r="G309" s="2">
        <v>85.37</v>
      </c>
      <c r="H309" t="s">
        <v>678</v>
      </c>
      <c r="I309">
        <v>1191930417</v>
      </c>
      <c r="J309" s="2">
        <v>1.73</v>
      </c>
      <c r="K309" s="6" t="str">
        <f>I309&amp;J309</f>
        <v>11919304171.73</v>
      </c>
      <c r="L309" s="4" t="str">
        <f>IF(COUNTIF(D:D,D309)&gt;1,"D","N")</f>
        <v>N</v>
      </c>
      <c r="M309" s="4">
        <f>COUNTIFS(D:D,D309,F:F,"UPDATED")</f>
        <v>0</v>
      </c>
      <c r="N309" s="4">
        <f>COUNTIFS(D:D,D309,F:F,"NOT UPDATED")</f>
        <v>1</v>
      </c>
      <c r="O309" s="4">
        <f>COUNTIF(D:D,D309)</f>
        <v>1</v>
      </c>
    </row>
    <row r="310" spans="1:15" x14ac:dyDescent="0.25">
      <c r="A310">
        <v>99</v>
      </c>
      <c r="B310" t="s">
        <v>341</v>
      </c>
      <c r="C310" s="1">
        <v>45784</v>
      </c>
      <c r="D310" t="s">
        <v>439</v>
      </c>
      <c r="E310" t="e">
        <v>#N/A</v>
      </c>
      <c r="F310" t="s">
        <v>11</v>
      </c>
      <c r="G310" s="2">
        <v>0</v>
      </c>
      <c r="H310" t="s">
        <v>29</v>
      </c>
      <c r="I310" t="s">
        <v>453</v>
      </c>
      <c r="J310" s="2">
        <v>-144.22</v>
      </c>
      <c r="K310" s="6" t="str">
        <f>I310&amp;J310</f>
        <v>8.02024264507987P0X00.SI399002X22960-144.22</v>
      </c>
      <c r="L310" s="4" t="str">
        <f>IF(COUNTIF(D:D,D310)&gt;1,"D","N")</f>
        <v>D</v>
      </c>
      <c r="M310" s="4">
        <f>COUNTIFS(D:D,D310,F:F,"UPDATED")</f>
        <v>0</v>
      </c>
      <c r="N310" s="4">
        <f>COUNTIFS(D:D,D310,F:F,"NOT UPDATED")</f>
        <v>36</v>
      </c>
      <c r="O310" s="4">
        <f>COUNTIF(D:D,D310)</f>
        <v>36</v>
      </c>
    </row>
    <row r="311" spans="1:15" x14ac:dyDescent="0.25">
      <c r="A311">
        <v>117</v>
      </c>
      <c r="B311" t="s">
        <v>341</v>
      </c>
      <c r="C311" s="1">
        <v>45784</v>
      </c>
      <c r="D311" t="s">
        <v>439</v>
      </c>
      <c r="E311" t="e">
        <v>#N/A</v>
      </c>
      <c r="F311" t="s">
        <v>11</v>
      </c>
      <c r="G311" s="2">
        <v>0</v>
      </c>
      <c r="H311" t="s">
        <v>29</v>
      </c>
      <c r="I311" t="s">
        <v>453</v>
      </c>
      <c r="J311" s="2">
        <v>-144.22</v>
      </c>
      <c r="K311" s="6" t="str">
        <f>I311&amp;J311</f>
        <v>8.02024264507987P0X00.SI399002X22960-144.22</v>
      </c>
      <c r="L311" s="4" t="str">
        <f>IF(COUNTIF(D:D,D311)&gt;1,"D","N")</f>
        <v>D</v>
      </c>
      <c r="M311" s="4">
        <f>COUNTIFS(D:D,D311,F:F,"UPDATED")</f>
        <v>0</v>
      </c>
      <c r="N311" s="4">
        <f>COUNTIFS(D:D,D311,F:F,"NOT UPDATED")</f>
        <v>36</v>
      </c>
      <c r="O311" s="4">
        <f>COUNTIF(D:D,D311)</f>
        <v>36</v>
      </c>
    </row>
    <row r="312" spans="1:15" x14ac:dyDescent="0.25">
      <c r="A312">
        <v>1</v>
      </c>
      <c r="B312" t="s">
        <v>341</v>
      </c>
      <c r="C312" s="1">
        <v>45778</v>
      </c>
      <c r="D312" t="s">
        <v>342</v>
      </c>
      <c r="E312" t="e">
        <v>#N/A</v>
      </c>
      <c r="F312" t="s">
        <v>11</v>
      </c>
      <c r="G312" s="2">
        <v>0</v>
      </c>
      <c r="H312" t="s">
        <v>29</v>
      </c>
      <c r="I312" t="s">
        <v>343</v>
      </c>
      <c r="J312" s="2">
        <v>-92.18</v>
      </c>
      <c r="K312" s="6" t="str">
        <f>I312&amp;J312</f>
        <v>8.0202427550419A90X00.SI406808X80371-92.18</v>
      </c>
      <c r="L312" s="4" t="str">
        <f>IF(COUNTIF(D:D,D312)&gt;1,"D","N")</f>
        <v>D</v>
      </c>
      <c r="M312" s="4">
        <f>COUNTIFS(D:D,D312,F:F,"UPDATED")</f>
        <v>0</v>
      </c>
      <c r="N312" s="4">
        <f>COUNTIFS(D:D,D312,F:F,"NOT UPDATED")</f>
        <v>4</v>
      </c>
      <c r="O312" s="4">
        <f>COUNTIF(D:D,D312)</f>
        <v>4</v>
      </c>
    </row>
    <row r="313" spans="1:15" x14ac:dyDescent="0.25">
      <c r="A313">
        <v>3</v>
      </c>
      <c r="B313" t="s">
        <v>341</v>
      </c>
      <c r="C313" s="1">
        <v>45778</v>
      </c>
      <c r="D313" t="s">
        <v>342</v>
      </c>
      <c r="E313" t="e">
        <v>#N/A</v>
      </c>
      <c r="F313" t="s">
        <v>11</v>
      </c>
      <c r="G313" s="2">
        <v>0</v>
      </c>
      <c r="H313" t="s">
        <v>29</v>
      </c>
      <c r="I313" t="s">
        <v>343</v>
      </c>
      <c r="J313" s="2">
        <v>-92.18</v>
      </c>
      <c r="K313" s="6" t="str">
        <f>I313&amp;J313</f>
        <v>8.0202427550419A90X00.SI406808X80371-92.18</v>
      </c>
      <c r="L313" s="4" t="str">
        <f>IF(COUNTIF(D:D,D313)&gt;1,"D","N")</f>
        <v>D</v>
      </c>
      <c r="M313" s="4">
        <f>COUNTIFS(D:D,D313,F:F,"UPDATED")</f>
        <v>0</v>
      </c>
      <c r="N313" s="4">
        <f>COUNTIFS(D:D,D313,F:F,"NOT UPDATED")</f>
        <v>4</v>
      </c>
      <c r="O313" s="4">
        <f>COUNTIF(D:D,D313)</f>
        <v>4</v>
      </c>
    </row>
    <row r="314" spans="1:15" x14ac:dyDescent="0.25">
      <c r="A314">
        <v>2</v>
      </c>
      <c r="B314" t="s">
        <v>341</v>
      </c>
      <c r="C314" s="1">
        <v>45778</v>
      </c>
      <c r="D314" t="s">
        <v>342</v>
      </c>
      <c r="E314" t="e">
        <v>#N/A</v>
      </c>
      <c r="F314" t="s">
        <v>11</v>
      </c>
      <c r="G314" s="2">
        <v>0</v>
      </c>
      <c r="H314" t="s">
        <v>29</v>
      </c>
      <c r="I314" t="s">
        <v>344</v>
      </c>
      <c r="J314" s="2">
        <v>-65.41</v>
      </c>
      <c r="K314" s="6" t="str">
        <f>I314&amp;J314</f>
        <v>8.02024276503U5180X00.SI408279X56181-65.41</v>
      </c>
      <c r="L314" s="4" t="str">
        <f>IF(COUNTIF(D:D,D314)&gt;1,"D","N")</f>
        <v>D</v>
      </c>
      <c r="M314" s="4">
        <f>COUNTIFS(D:D,D314,F:F,"UPDATED")</f>
        <v>0</v>
      </c>
      <c r="N314" s="4">
        <f>COUNTIFS(D:D,D314,F:F,"NOT UPDATED")</f>
        <v>4</v>
      </c>
      <c r="O314" s="4">
        <f>COUNTIF(D:D,D314)</f>
        <v>4</v>
      </c>
    </row>
    <row r="315" spans="1:15" x14ac:dyDescent="0.25">
      <c r="A315">
        <v>4</v>
      </c>
      <c r="B315" t="s">
        <v>341</v>
      </c>
      <c r="C315" s="1">
        <v>45778</v>
      </c>
      <c r="D315" t="s">
        <v>342</v>
      </c>
      <c r="E315" t="e">
        <v>#N/A</v>
      </c>
      <c r="F315" t="s">
        <v>11</v>
      </c>
      <c r="G315" s="2">
        <v>0</v>
      </c>
      <c r="H315" t="s">
        <v>29</v>
      </c>
      <c r="I315" t="s">
        <v>344</v>
      </c>
      <c r="J315" s="2">
        <v>-65.41</v>
      </c>
      <c r="K315" s="6" t="str">
        <f>I315&amp;J315</f>
        <v>8.02024276503U5180X00.SI408279X56181-65.41</v>
      </c>
      <c r="L315" s="4" t="str">
        <f>IF(COUNTIF(D:D,D315)&gt;1,"D","N")</f>
        <v>D</v>
      </c>
      <c r="M315" s="4">
        <f>COUNTIFS(D:D,D315,F:F,"UPDATED")</f>
        <v>0</v>
      </c>
      <c r="N315" s="4">
        <f>COUNTIFS(D:D,D315,F:F,"NOT UPDATED")</f>
        <v>4</v>
      </c>
      <c r="O315" s="4">
        <f>COUNTIF(D:D,D315)</f>
        <v>4</v>
      </c>
    </row>
    <row r="316" spans="1:15" hidden="1" x14ac:dyDescent="0.25">
      <c r="A316">
        <v>315</v>
      </c>
      <c r="B316" t="s">
        <v>87</v>
      </c>
      <c r="C316" s="1">
        <v>45805</v>
      </c>
      <c r="D316">
        <v>800517545</v>
      </c>
      <c r="E316" t="e">
        <v>#N/A</v>
      </c>
      <c r="F316" t="s">
        <v>11</v>
      </c>
      <c r="G316" t="s">
        <v>688</v>
      </c>
      <c r="H316" t="s">
        <v>15</v>
      </c>
      <c r="I316" t="s">
        <v>689</v>
      </c>
      <c r="J316" s="2">
        <v>49.94</v>
      </c>
      <c r="K316" s="6" t="str">
        <f>I316&amp;J316</f>
        <v>SI505902X1330049.94</v>
      </c>
      <c r="L316" s="4" t="str">
        <f>IF(COUNTIF(D:D,D316)&gt;1,"D","N")</f>
        <v>D</v>
      </c>
      <c r="M316" s="4">
        <f>COUNTIFS(D:D,D316,F:F,"UPDATED")</f>
        <v>0</v>
      </c>
      <c r="N316" s="4">
        <f>COUNTIFS(D:D,D316,F:F,"NOT UPDATED")</f>
        <v>2</v>
      </c>
      <c r="O316" s="4">
        <f>COUNTIF(D:D,D316)</f>
        <v>2</v>
      </c>
    </row>
    <row r="317" spans="1:15" hidden="1" x14ac:dyDescent="0.25">
      <c r="A317">
        <v>316</v>
      </c>
      <c r="B317" t="s">
        <v>87</v>
      </c>
      <c r="C317" s="1">
        <v>45805</v>
      </c>
      <c r="D317">
        <v>800517545</v>
      </c>
      <c r="E317" t="e">
        <v>#N/A</v>
      </c>
      <c r="F317" t="s">
        <v>11</v>
      </c>
      <c r="G317" t="s">
        <v>688</v>
      </c>
      <c r="H317" t="s">
        <v>15</v>
      </c>
      <c r="I317" t="s">
        <v>690</v>
      </c>
      <c r="J317" s="2">
        <v>1934.74</v>
      </c>
      <c r="K317" s="6" t="str">
        <f>I317&amp;J317</f>
        <v>SI194142X593011934.74</v>
      </c>
      <c r="L317" s="4" t="str">
        <f>IF(COUNTIF(D:D,D317)&gt;1,"D","N")</f>
        <v>D</v>
      </c>
      <c r="M317" s="4">
        <f>COUNTIFS(D:D,D317,F:F,"UPDATED")</f>
        <v>0</v>
      </c>
      <c r="N317" s="4">
        <f>COUNTIFS(D:D,D317,F:F,"NOT UPDATED")</f>
        <v>2</v>
      </c>
      <c r="O317" s="4">
        <f>COUNTIF(D:D,D317)</f>
        <v>2</v>
      </c>
    </row>
    <row r="318" spans="1:15" x14ac:dyDescent="0.25">
      <c r="A318">
        <v>101</v>
      </c>
      <c r="B318" t="s">
        <v>341</v>
      </c>
      <c r="C318" s="1">
        <v>45784</v>
      </c>
      <c r="D318" t="s">
        <v>439</v>
      </c>
      <c r="E318" t="e">
        <v>#N/A</v>
      </c>
      <c r="F318" t="s">
        <v>11</v>
      </c>
      <c r="G318" s="2">
        <v>0</v>
      </c>
      <c r="H318" t="s">
        <v>29</v>
      </c>
      <c r="I318" t="s">
        <v>455</v>
      </c>
      <c r="J318" s="2">
        <v>-87.89</v>
      </c>
      <c r="K318" s="6" t="str">
        <f>I318&amp;J318</f>
        <v>8.020242895002C240X00.SI416530X4457-87.89</v>
      </c>
      <c r="L318" s="4" t="str">
        <f>IF(COUNTIF(D:D,D318)&gt;1,"D","N")</f>
        <v>D</v>
      </c>
      <c r="M318" s="4">
        <f>COUNTIFS(D:D,D318,F:F,"UPDATED")</f>
        <v>0</v>
      </c>
      <c r="N318" s="4">
        <f>COUNTIFS(D:D,D318,F:F,"NOT UPDATED")</f>
        <v>36</v>
      </c>
      <c r="O318" s="4">
        <f>COUNTIF(D:D,D318)</f>
        <v>36</v>
      </c>
    </row>
    <row r="319" spans="1:15" x14ac:dyDescent="0.25">
      <c r="A319">
        <v>119</v>
      </c>
      <c r="B319" t="s">
        <v>341</v>
      </c>
      <c r="C319" s="1">
        <v>45784</v>
      </c>
      <c r="D319" t="s">
        <v>439</v>
      </c>
      <c r="E319" t="e">
        <v>#N/A</v>
      </c>
      <c r="F319" t="s">
        <v>11</v>
      </c>
      <c r="G319" s="2">
        <v>0</v>
      </c>
      <c r="H319" t="s">
        <v>29</v>
      </c>
      <c r="I319" t="s">
        <v>455</v>
      </c>
      <c r="J319" s="2">
        <v>-87.89</v>
      </c>
      <c r="K319" s="6" t="str">
        <f>I319&amp;J319</f>
        <v>8.020242895002C240X00.SI416530X4457-87.89</v>
      </c>
      <c r="L319" s="4" t="str">
        <f>IF(COUNTIF(D:D,D319)&gt;1,"D","N")</f>
        <v>D</v>
      </c>
      <c r="M319" s="4">
        <f>COUNTIFS(D:D,D319,F:F,"UPDATED")</f>
        <v>0</v>
      </c>
      <c r="N319" s="4">
        <f>COUNTIFS(D:D,D319,F:F,"NOT UPDATED")</f>
        <v>36</v>
      </c>
      <c r="O319" s="4">
        <f>COUNTIF(D:D,D319)</f>
        <v>36</v>
      </c>
    </row>
    <row r="320" spans="1:15" hidden="1" x14ac:dyDescent="0.25">
      <c r="A320">
        <v>319</v>
      </c>
      <c r="B320" t="s">
        <v>94</v>
      </c>
      <c r="C320" s="1">
        <v>45804</v>
      </c>
      <c r="D320" t="s">
        <v>695</v>
      </c>
      <c r="E320" t="e">
        <v>#N/A</v>
      </c>
      <c r="F320" t="s">
        <v>11</v>
      </c>
      <c r="G320" s="2">
        <v>17157.23</v>
      </c>
      <c r="H320" t="s">
        <v>29</v>
      </c>
      <c r="I320" t="s">
        <v>696</v>
      </c>
      <c r="J320" s="2">
        <v>-186.44</v>
      </c>
      <c r="K320" s="6" t="str">
        <f>I320&amp;J320</f>
        <v>0202505050252D90X00.SI487598X37795-186.44</v>
      </c>
      <c r="L320" s="4" t="str">
        <f>IF(COUNTIF(D:D,D320)&gt;1,"D","N")</f>
        <v>N</v>
      </c>
      <c r="M320" s="4">
        <f>COUNTIFS(D:D,D320,F:F,"UPDATED")</f>
        <v>0</v>
      </c>
      <c r="N320" s="4">
        <f>COUNTIFS(D:D,D320,F:F,"NOT UPDATED")</f>
        <v>1</v>
      </c>
      <c r="O320" s="4">
        <f>COUNTIF(D:D,D320)</f>
        <v>1</v>
      </c>
    </row>
    <row r="321" spans="1:15" x14ac:dyDescent="0.25">
      <c r="A321">
        <v>313</v>
      </c>
      <c r="B321" t="s">
        <v>341</v>
      </c>
      <c r="C321" s="1">
        <v>45805</v>
      </c>
      <c r="D321" t="s">
        <v>682</v>
      </c>
      <c r="E321" t="e">
        <v>#N/A</v>
      </c>
      <c r="F321" t="s">
        <v>11</v>
      </c>
      <c r="G321" t="s">
        <v>517</v>
      </c>
      <c r="H321" t="s">
        <v>29</v>
      </c>
      <c r="I321" t="s">
        <v>684</v>
      </c>
      <c r="J321" s="2">
        <v>-7</v>
      </c>
      <c r="K321" s="6" t="str">
        <f>I321&amp;J321</f>
        <v>8.020242925073S710X00.SI418064X86479-7</v>
      </c>
      <c r="L321" s="4" t="str">
        <f>IF(COUNTIF(D:D,D321)&gt;1,"D","N")</f>
        <v>D</v>
      </c>
      <c r="M321" s="4">
        <f>COUNTIFS(D:D,D321,F:F,"UPDATED")</f>
        <v>0</v>
      </c>
      <c r="N321" s="4">
        <f>COUNTIFS(D:D,D321,F:F,"NOT UPDATED")</f>
        <v>3</v>
      </c>
      <c r="O321" s="4">
        <f>COUNTIF(D:D,D321)</f>
        <v>3</v>
      </c>
    </row>
    <row r="322" spans="1:15" hidden="1" x14ac:dyDescent="0.25">
      <c r="A322">
        <v>321</v>
      </c>
      <c r="B322" t="s">
        <v>94</v>
      </c>
      <c r="C322" t="s">
        <v>697</v>
      </c>
      <c r="D322" t="s">
        <v>699</v>
      </c>
      <c r="E322" t="e">
        <v>#N/A</v>
      </c>
      <c r="F322" t="s">
        <v>11</v>
      </c>
      <c r="G322" s="2">
        <v>0</v>
      </c>
      <c r="H322" t="s">
        <v>29</v>
      </c>
      <c r="I322" t="s">
        <v>700</v>
      </c>
      <c r="J322" s="2">
        <v>-134.88999999999999</v>
      </c>
      <c r="K322" s="6" t="str">
        <f>I322&amp;J322</f>
        <v>020242625014J050X00.SI397775X91395-134.89</v>
      </c>
      <c r="L322" s="4" t="str">
        <f>IF(COUNTIF(D:D,D322)&gt;1,"D","N")</f>
        <v>D</v>
      </c>
      <c r="M322" s="4">
        <f>COUNTIFS(D:D,D322,F:F,"UPDATED")</f>
        <v>0</v>
      </c>
      <c r="N322" s="4">
        <f>COUNTIFS(D:D,D322,F:F,"NOT UPDATED")</f>
        <v>3</v>
      </c>
      <c r="O322" s="4">
        <f>COUNTIF(D:D,D322)</f>
        <v>3</v>
      </c>
    </row>
    <row r="323" spans="1:15" hidden="1" x14ac:dyDescent="0.25">
      <c r="A323">
        <v>322</v>
      </c>
      <c r="B323" t="s">
        <v>94</v>
      </c>
      <c r="C323" t="s">
        <v>697</v>
      </c>
      <c r="D323" t="s">
        <v>699</v>
      </c>
      <c r="E323" t="e">
        <v>#N/A</v>
      </c>
      <c r="F323" t="s">
        <v>11</v>
      </c>
      <c r="G323" s="2">
        <v>0</v>
      </c>
      <c r="H323" t="s">
        <v>29</v>
      </c>
      <c r="I323" t="s">
        <v>701</v>
      </c>
      <c r="J323" s="2">
        <v>-226.65</v>
      </c>
      <c r="K323" s="6" t="str">
        <f>I323&amp;J323</f>
        <v>8.020242625014J050X00.SI397775X91395-226.65</v>
      </c>
      <c r="L323" s="4" t="str">
        <f>IF(COUNTIF(D:D,D323)&gt;1,"D","N")</f>
        <v>D</v>
      </c>
      <c r="M323" s="4">
        <f>COUNTIFS(D:D,D323,F:F,"UPDATED")</f>
        <v>0</v>
      </c>
      <c r="N323" s="4">
        <f>COUNTIFS(D:D,D323,F:F,"NOT UPDATED")</f>
        <v>3</v>
      </c>
      <c r="O323" s="4">
        <f>COUNTIF(D:D,D323)</f>
        <v>3</v>
      </c>
    </row>
    <row r="324" spans="1:15" hidden="1" x14ac:dyDescent="0.25">
      <c r="A324">
        <v>323</v>
      </c>
      <c r="B324" t="s">
        <v>94</v>
      </c>
      <c r="C324" t="s">
        <v>697</v>
      </c>
      <c r="D324" t="s">
        <v>699</v>
      </c>
      <c r="E324" t="e">
        <v>#N/A</v>
      </c>
      <c r="F324" t="s">
        <v>11</v>
      </c>
      <c r="G324" s="2">
        <v>0</v>
      </c>
      <c r="H324" t="s">
        <v>29</v>
      </c>
      <c r="I324" t="s">
        <v>702</v>
      </c>
      <c r="J324" s="2">
        <v>-215.13</v>
      </c>
      <c r="K324" s="6" t="str">
        <f>I324&amp;J324</f>
        <v>8.0202426254552260X00.SI396544X73521-215.13</v>
      </c>
      <c r="L324" s="4" t="str">
        <f>IF(COUNTIF(D:D,D324)&gt;1,"D","N")</f>
        <v>D</v>
      </c>
      <c r="M324" s="4">
        <f>COUNTIFS(D:D,D324,F:F,"UPDATED")</f>
        <v>0</v>
      </c>
      <c r="N324" s="4">
        <f>COUNTIFS(D:D,D324,F:F,"NOT UPDATED")</f>
        <v>3</v>
      </c>
      <c r="O324" s="4">
        <f>COUNTIF(D:D,D324)</f>
        <v>3</v>
      </c>
    </row>
    <row r="325" spans="1:15" hidden="1" x14ac:dyDescent="0.25">
      <c r="A325">
        <v>324</v>
      </c>
      <c r="B325" t="s">
        <v>87</v>
      </c>
      <c r="C325" s="1">
        <v>45804</v>
      </c>
      <c r="D325" t="s">
        <v>703</v>
      </c>
      <c r="E325" t="e">
        <v>#N/A</v>
      </c>
      <c r="F325" t="s">
        <v>11</v>
      </c>
      <c r="G325" s="2">
        <v>110396.92</v>
      </c>
      <c r="H325" t="s">
        <v>15</v>
      </c>
      <c r="I325" s="2">
        <v>25087307130</v>
      </c>
      <c r="J325">
        <v>-140.28</v>
      </c>
      <c r="K325" s="6" t="str">
        <f>I325&amp;J325</f>
        <v>25087307130-140.28</v>
      </c>
      <c r="L325" s="4" t="str">
        <f>IF(COUNTIF(D:D,D325)&gt;1,"D","N")</f>
        <v>N</v>
      </c>
      <c r="M325" s="4">
        <f>COUNTIFS(D:D,D325,F:F,"UPDATED")</f>
        <v>0</v>
      </c>
      <c r="N325" s="4">
        <f>COUNTIFS(D:D,D325,F:F,"NOT UPDATED")</f>
        <v>1</v>
      </c>
      <c r="O325" s="4">
        <f>COUNTIF(D:D,D325)</f>
        <v>1</v>
      </c>
    </row>
    <row r="326" spans="1:15" x14ac:dyDescent="0.25">
      <c r="A326">
        <v>356</v>
      </c>
      <c r="B326" t="s">
        <v>94</v>
      </c>
      <c r="C326" s="1">
        <v>45805</v>
      </c>
      <c r="D326" t="s">
        <v>738</v>
      </c>
      <c r="E326" t="e">
        <v>#N/A</v>
      </c>
      <c r="F326" t="s">
        <v>11</v>
      </c>
      <c r="G326" s="2">
        <v>50</v>
      </c>
      <c r="H326" t="s">
        <v>29</v>
      </c>
      <c r="I326" t="s">
        <v>684</v>
      </c>
      <c r="J326" s="2">
        <v>-7</v>
      </c>
      <c r="K326" s="6" t="str">
        <f>I326&amp;J326</f>
        <v>8.020242925073S710X00.SI418064X86479-7</v>
      </c>
      <c r="L326" s="4" t="str">
        <f>IF(COUNTIF(D:D,D326)&gt;1,"D","N")</f>
        <v>D</v>
      </c>
      <c r="M326" s="4">
        <f>COUNTIFS(D:D,D326,F:F,"UPDATED")</f>
        <v>0</v>
      </c>
      <c r="N326" s="4">
        <f>COUNTIFS(D:D,D326,F:F,"NOT UPDATED")</f>
        <v>3</v>
      </c>
      <c r="O326" s="4">
        <f>COUNTIF(D:D,D326)</f>
        <v>3</v>
      </c>
    </row>
    <row r="327" spans="1:15" x14ac:dyDescent="0.25">
      <c r="A327">
        <v>292</v>
      </c>
      <c r="B327" t="s">
        <v>341</v>
      </c>
      <c r="C327" s="1">
        <v>45799</v>
      </c>
      <c r="D327" t="s">
        <v>648</v>
      </c>
      <c r="E327" t="e">
        <v>#N/A</v>
      </c>
      <c r="F327" t="s">
        <v>11</v>
      </c>
      <c r="G327" s="2">
        <v>50</v>
      </c>
      <c r="H327" t="s">
        <v>29</v>
      </c>
      <c r="I327" t="s">
        <v>652</v>
      </c>
      <c r="J327" s="2">
        <v>-128.86000000000001</v>
      </c>
      <c r="K327" s="6" t="str">
        <f>I327&amp;J327</f>
        <v>8.02024296502D8240X00.SI420478X53005-128.86</v>
      </c>
      <c r="L327" s="4" t="str">
        <f>IF(COUNTIF(D:D,D327)&gt;1,"D","N")</f>
        <v>D</v>
      </c>
      <c r="M327" s="4">
        <f>COUNTIFS(D:D,D327,F:F,"UPDATED")</f>
        <v>0</v>
      </c>
      <c r="N327" s="4">
        <f>COUNTIFS(D:D,D327,F:F,"NOT UPDATED")</f>
        <v>4</v>
      </c>
      <c r="O327" s="4">
        <f>COUNTIF(D:D,D327)</f>
        <v>4</v>
      </c>
    </row>
    <row r="328" spans="1:15" hidden="1" x14ac:dyDescent="0.25">
      <c r="A328">
        <v>327</v>
      </c>
      <c r="B328" t="s">
        <v>71</v>
      </c>
      <c r="C328" s="1">
        <v>45803</v>
      </c>
      <c r="D328">
        <v>159846094250527</v>
      </c>
      <c r="E328" t="e">
        <v>#N/A</v>
      </c>
      <c r="F328" t="s">
        <v>11</v>
      </c>
      <c r="G328" t="s">
        <v>705</v>
      </c>
      <c r="H328" t="s">
        <v>15</v>
      </c>
      <c r="I328" t="s">
        <v>706</v>
      </c>
      <c r="J328" s="2">
        <v>17.53</v>
      </c>
      <c r="K328" s="6" t="str">
        <f>I328&amp;J328</f>
        <v>PSI479818X6859/82025044046514117.53</v>
      </c>
      <c r="L328" s="4" t="str">
        <f>IF(COUNTIF(D:D,D328)&gt;1,"D","N")</f>
        <v>D</v>
      </c>
      <c r="M328" s="4">
        <f>COUNTIFS(D:D,D328,F:F,"UPDATED")</f>
        <v>0</v>
      </c>
      <c r="N328" s="4">
        <f>COUNTIFS(D:D,D328,F:F,"NOT UPDATED")</f>
        <v>2</v>
      </c>
      <c r="O328" s="4">
        <f>COUNTIF(D:D,D328)</f>
        <v>2</v>
      </c>
    </row>
    <row r="329" spans="1:15" hidden="1" x14ac:dyDescent="0.25">
      <c r="A329">
        <v>328</v>
      </c>
      <c r="B329" t="s">
        <v>71</v>
      </c>
      <c r="C329" s="1">
        <v>45803</v>
      </c>
      <c r="D329">
        <v>159846094250527</v>
      </c>
      <c r="E329" t="e">
        <v>#N/A</v>
      </c>
      <c r="F329" t="s">
        <v>11</v>
      </c>
      <c r="G329" t="s">
        <v>705</v>
      </c>
      <c r="H329" t="s">
        <v>15</v>
      </c>
      <c r="I329" t="s">
        <v>707</v>
      </c>
      <c r="J329" s="2">
        <v>12.98</v>
      </c>
      <c r="K329" s="6" t="str">
        <f>I329&amp;J329</f>
        <v>PSI416551X93383/82024289041582212.98</v>
      </c>
      <c r="L329" s="4" t="str">
        <f>IF(COUNTIF(D:D,D329)&gt;1,"D","N")</f>
        <v>D</v>
      </c>
      <c r="M329" s="4">
        <f>COUNTIFS(D:D,D329,F:F,"UPDATED")</f>
        <v>0</v>
      </c>
      <c r="N329" s="4">
        <f>COUNTIFS(D:D,D329,F:F,"NOT UPDATED")</f>
        <v>2</v>
      </c>
      <c r="O329" s="4">
        <f>COUNTIF(D:D,D329)</f>
        <v>2</v>
      </c>
    </row>
    <row r="330" spans="1:15" x14ac:dyDescent="0.25">
      <c r="A330">
        <v>345</v>
      </c>
      <c r="B330" t="s">
        <v>94</v>
      </c>
      <c r="C330" s="1">
        <v>45799</v>
      </c>
      <c r="D330" t="s">
        <v>730</v>
      </c>
      <c r="E330" t="e">
        <v>#N/A</v>
      </c>
      <c r="F330" t="s">
        <v>11</v>
      </c>
      <c r="G330" t="s">
        <v>731</v>
      </c>
      <c r="H330" t="s">
        <v>29</v>
      </c>
      <c r="I330" t="s">
        <v>652</v>
      </c>
      <c r="J330" s="2">
        <v>-128.86000000000001</v>
      </c>
      <c r="K330" s="6" t="str">
        <f>I330&amp;J330</f>
        <v>8.02024296502D8240X00.SI420478X53005-128.86</v>
      </c>
      <c r="L330" s="4" t="str">
        <f>IF(COUNTIF(D:D,D330)&gt;1,"D","N")</f>
        <v>D</v>
      </c>
      <c r="M330" s="4">
        <f>COUNTIFS(D:D,D330,F:F,"UPDATED")</f>
        <v>0</v>
      </c>
      <c r="N330" s="4">
        <f>COUNTIFS(D:D,D330,F:F,"NOT UPDATED")</f>
        <v>4</v>
      </c>
      <c r="O330" s="4">
        <f>COUNTIF(D:D,D330)</f>
        <v>4</v>
      </c>
    </row>
    <row r="331" spans="1:15" x14ac:dyDescent="0.25">
      <c r="A331">
        <v>346</v>
      </c>
      <c r="B331" t="s">
        <v>341</v>
      </c>
      <c r="C331" s="1">
        <v>45799</v>
      </c>
      <c r="D331" t="s">
        <v>732</v>
      </c>
      <c r="E331" t="e">
        <v>#N/A</v>
      </c>
      <c r="F331" t="s">
        <v>11</v>
      </c>
      <c r="G331" s="2">
        <v>17001.900000000001</v>
      </c>
      <c r="H331" t="s">
        <v>29</v>
      </c>
      <c r="I331" t="s">
        <v>652</v>
      </c>
      <c r="J331" s="2">
        <v>-128.86000000000001</v>
      </c>
      <c r="K331" s="6" t="str">
        <f>I331&amp;J331</f>
        <v>8.02024296502D8240X00.SI420478X53005-128.86</v>
      </c>
      <c r="L331" s="4" t="str">
        <f>IF(COUNTIF(D:D,D331)&gt;1,"D","N")</f>
        <v>N</v>
      </c>
      <c r="M331" s="4">
        <f>COUNTIFS(D:D,D331,F:F,"UPDATED")</f>
        <v>0</v>
      </c>
      <c r="N331" s="4">
        <f>COUNTIFS(D:D,D331,F:F,"NOT UPDATED")</f>
        <v>1</v>
      </c>
      <c r="O331" s="4">
        <f>COUNTIF(D:D,D331)</f>
        <v>1</v>
      </c>
    </row>
    <row r="332" spans="1:15" x14ac:dyDescent="0.25">
      <c r="A332">
        <v>100</v>
      </c>
      <c r="B332" t="s">
        <v>341</v>
      </c>
      <c r="C332" s="1">
        <v>45784</v>
      </c>
      <c r="D332" t="s">
        <v>439</v>
      </c>
      <c r="E332" t="e">
        <v>#N/A</v>
      </c>
      <c r="F332" t="s">
        <v>11</v>
      </c>
      <c r="G332" s="2">
        <v>0</v>
      </c>
      <c r="H332" t="s">
        <v>29</v>
      </c>
      <c r="I332" t="s">
        <v>454</v>
      </c>
      <c r="J332" s="2">
        <v>-107.25</v>
      </c>
      <c r="K332" s="6" t="str">
        <f>I332&amp;J332</f>
        <v>8.0202430650V97690X00.SI426729X45940-107.25</v>
      </c>
      <c r="L332" s="4" t="str">
        <f>IF(COUNTIF(D:D,D332)&gt;1,"D","N")</f>
        <v>D</v>
      </c>
      <c r="M332" s="4">
        <f>COUNTIFS(D:D,D332,F:F,"UPDATED")</f>
        <v>0</v>
      </c>
      <c r="N332" s="4">
        <f>COUNTIFS(D:D,D332,F:F,"NOT UPDATED")</f>
        <v>36</v>
      </c>
      <c r="O332" s="4">
        <f>COUNTIF(D:D,D332)</f>
        <v>36</v>
      </c>
    </row>
    <row r="333" spans="1:15" x14ac:dyDescent="0.25">
      <c r="A333">
        <v>118</v>
      </c>
      <c r="B333" t="s">
        <v>341</v>
      </c>
      <c r="C333" s="1">
        <v>45784</v>
      </c>
      <c r="D333" t="s">
        <v>439</v>
      </c>
      <c r="E333" t="e">
        <v>#N/A</v>
      </c>
      <c r="F333" t="s">
        <v>11</v>
      </c>
      <c r="G333" s="2">
        <v>0</v>
      </c>
      <c r="H333" t="s">
        <v>29</v>
      </c>
      <c r="I333" t="s">
        <v>454</v>
      </c>
      <c r="J333" s="2">
        <v>-107.25</v>
      </c>
      <c r="K333" s="6" t="str">
        <f>I333&amp;J333</f>
        <v>8.0202430650V97690X00.SI426729X45940-107.25</v>
      </c>
      <c r="L333" s="4" t="str">
        <f>IF(COUNTIF(D:D,D333)&gt;1,"D","N")</f>
        <v>D</v>
      </c>
      <c r="M333" s="4">
        <f>COUNTIFS(D:D,D333,F:F,"UPDATED")</f>
        <v>0</v>
      </c>
      <c r="N333" s="4">
        <f>COUNTIFS(D:D,D333,F:F,"NOT UPDATED")</f>
        <v>36</v>
      </c>
      <c r="O333" s="4">
        <f>COUNTIF(D:D,D333)</f>
        <v>36</v>
      </c>
    </row>
    <row r="334" spans="1:15" x14ac:dyDescent="0.25">
      <c r="A334">
        <v>88</v>
      </c>
      <c r="B334" t="s">
        <v>341</v>
      </c>
      <c r="C334" s="1">
        <v>45784</v>
      </c>
      <c r="D334" t="s">
        <v>439</v>
      </c>
      <c r="E334" t="e">
        <v>#N/A</v>
      </c>
      <c r="F334" t="s">
        <v>11</v>
      </c>
      <c r="G334" s="2">
        <v>0</v>
      </c>
      <c r="H334" t="s">
        <v>29</v>
      </c>
      <c r="I334" t="s">
        <v>442</v>
      </c>
      <c r="J334" s="2">
        <v>-12.72</v>
      </c>
      <c r="K334" s="6" t="str">
        <f>I334&amp;J334</f>
        <v>8.0202430650Y55900X00.SI426857X30299-12.72</v>
      </c>
      <c r="L334" s="4" t="str">
        <f>IF(COUNTIF(D:D,D334)&gt;1,"D","N")</f>
        <v>D</v>
      </c>
      <c r="M334" s="4">
        <f>COUNTIFS(D:D,D334,F:F,"UPDATED")</f>
        <v>0</v>
      </c>
      <c r="N334" s="4">
        <f>COUNTIFS(D:D,D334,F:F,"NOT UPDATED")</f>
        <v>36</v>
      </c>
      <c r="O334" s="4">
        <f>COUNTIF(D:D,D334)</f>
        <v>36</v>
      </c>
    </row>
    <row r="335" spans="1:15" x14ac:dyDescent="0.25">
      <c r="A335">
        <v>106</v>
      </c>
      <c r="B335" t="s">
        <v>341</v>
      </c>
      <c r="C335" s="1">
        <v>45784</v>
      </c>
      <c r="D335" t="s">
        <v>439</v>
      </c>
      <c r="E335" t="e">
        <v>#N/A</v>
      </c>
      <c r="F335" t="s">
        <v>11</v>
      </c>
      <c r="G335" s="2">
        <v>0</v>
      </c>
      <c r="H335" t="s">
        <v>29</v>
      </c>
      <c r="I335" t="s">
        <v>442</v>
      </c>
      <c r="J335" s="2">
        <v>-12.72</v>
      </c>
      <c r="K335" s="6" t="str">
        <f>I335&amp;J335</f>
        <v>8.0202430650Y55900X00.SI426857X30299-12.72</v>
      </c>
      <c r="L335" s="4" t="str">
        <f>IF(COUNTIF(D:D,D335)&gt;1,"D","N")</f>
        <v>D</v>
      </c>
      <c r="M335" s="4">
        <f>COUNTIFS(D:D,D335,F:F,"UPDATED")</f>
        <v>0</v>
      </c>
      <c r="N335" s="4">
        <f>COUNTIFS(D:D,D335,F:F,"NOT UPDATED")</f>
        <v>36</v>
      </c>
      <c r="O335" s="4">
        <f>COUNTIF(D:D,D335)</f>
        <v>36</v>
      </c>
    </row>
    <row r="336" spans="1:15" x14ac:dyDescent="0.25">
      <c r="A336">
        <v>90</v>
      </c>
      <c r="B336" t="s">
        <v>341</v>
      </c>
      <c r="C336" s="1">
        <v>45784</v>
      </c>
      <c r="D336" t="s">
        <v>439</v>
      </c>
      <c r="E336" t="e">
        <v>#N/A</v>
      </c>
      <c r="F336" t="s">
        <v>11</v>
      </c>
      <c r="G336" s="2">
        <v>0</v>
      </c>
      <c r="H336" t="s">
        <v>29</v>
      </c>
      <c r="I336" t="s">
        <v>444</v>
      </c>
      <c r="J336" s="2">
        <v>-77.010000000000005</v>
      </c>
      <c r="K336" s="6" t="str">
        <f>I336&amp;J336</f>
        <v>8.02024312501406N0X00.SI428903X93610-77.01</v>
      </c>
      <c r="L336" s="4" t="str">
        <f>IF(COUNTIF(D:D,D336)&gt;1,"D","N")</f>
        <v>D</v>
      </c>
      <c r="M336" s="4">
        <f>COUNTIFS(D:D,D336,F:F,"UPDATED")</f>
        <v>0</v>
      </c>
      <c r="N336" s="4">
        <f>COUNTIFS(D:D,D336,F:F,"NOT UPDATED")</f>
        <v>36</v>
      </c>
      <c r="O336" s="4">
        <f>COUNTIF(D:D,D336)</f>
        <v>36</v>
      </c>
    </row>
    <row r="337" spans="1:15" x14ac:dyDescent="0.25">
      <c r="A337">
        <v>108</v>
      </c>
      <c r="B337" t="s">
        <v>341</v>
      </c>
      <c r="C337" s="1">
        <v>45784</v>
      </c>
      <c r="D337" t="s">
        <v>439</v>
      </c>
      <c r="E337" t="e">
        <v>#N/A</v>
      </c>
      <c r="F337" t="s">
        <v>11</v>
      </c>
      <c r="G337" s="2">
        <v>0</v>
      </c>
      <c r="H337" t="s">
        <v>29</v>
      </c>
      <c r="I337" t="s">
        <v>444</v>
      </c>
      <c r="J337" s="2">
        <v>-77.010000000000005</v>
      </c>
      <c r="K337" s="6" t="str">
        <f>I337&amp;J337</f>
        <v>8.02024312501406N0X00.SI428903X93610-77.01</v>
      </c>
      <c r="L337" s="4" t="str">
        <f>IF(COUNTIF(D:D,D337)&gt;1,"D","N")</f>
        <v>D</v>
      </c>
      <c r="M337" s="4">
        <f>COUNTIFS(D:D,D337,F:F,"UPDATED")</f>
        <v>0</v>
      </c>
      <c r="N337" s="4">
        <f>COUNTIFS(D:D,D337,F:F,"NOT UPDATED")</f>
        <v>36</v>
      </c>
      <c r="O337" s="4">
        <f>COUNTIF(D:D,D337)</f>
        <v>36</v>
      </c>
    </row>
    <row r="338" spans="1:15" x14ac:dyDescent="0.25">
      <c r="A338">
        <v>97</v>
      </c>
      <c r="B338" t="s">
        <v>341</v>
      </c>
      <c r="C338" s="1">
        <v>45784</v>
      </c>
      <c r="D338" t="s">
        <v>439</v>
      </c>
      <c r="E338" t="e">
        <v>#N/A</v>
      </c>
      <c r="F338" t="s">
        <v>11</v>
      </c>
      <c r="G338" s="2">
        <v>0</v>
      </c>
      <c r="H338" t="s">
        <v>29</v>
      </c>
      <c r="I338" t="s">
        <v>451</v>
      </c>
      <c r="J338" s="2">
        <v>-146.91999999999999</v>
      </c>
      <c r="K338" s="6" t="str">
        <f>I338&amp;J338</f>
        <v>8.02024312503443N0X00.SI429117X95057-146.92</v>
      </c>
      <c r="L338" s="4" t="str">
        <f>IF(COUNTIF(D:D,D338)&gt;1,"D","N")</f>
        <v>D</v>
      </c>
      <c r="M338" s="4">
        <f>COUNTIFS(D:D,D338,F:F,"UPDATED")</f>
        <v>0</v>
      </c>
      <c r="N338" s="4">
        <f>COUNTIFS(D:D,D338,F:F,"NOT UPDATED")</f>
        <v>36</v>
      </c>
      <c r="O338" s="4">
        <f>COUNTIF(D:D,D338)</f>
        <v>36</v>
      </c>
    </row>
    <row r="339" spans="1:15" hidden="1" x14ac:dyDescent="0.25">
      <c r="A339">
        <v>338</v>
      </c>
      <c r="B339" t="s">
        <v>78</v>
      </c>
      <c r="C339" t="s">
        <v>721</v>
      </c>
      <c r="D339" t="s">
        <v>722</v>
      </c>
      <c r="E339" t="e">
        <v>#N/A</v>
      </c>
      <c r="F339" t="s">
        <v>11</v>
      </c>
      <c r="G339" s="2">
        <v>0</v>
      </c>
      <c r="H339" t="s">
        <v>15</v>
      </c>
      <c r="I339" t="s">
        <v>723</v>
      </c>
      <c r="J339" s="2">
        <v>155.22</v>
      </c>
      <c r="K339" s="6" t="str">
        <f>I339&amp;J339</f>
        <v>SI303113X3966 241320BXVZ01155.22</v>
      </c>
      <c r="L339" s="4" t="str">
        <f>IF(COUNTIF(D:D,D339)&gt;1,"D","N")</f>
        <v>N</v>
      </c>
      <c r="M339" s="4">
        <f>COUNTIFS(D:D,D339,F:F,"UPDATED")</f>
        <v>0</v>
      </c>
      <c r="N339" s="4">
        <f>COUNTIFS(D:D,D339,F:F,"NOT UPDATED")</f>
        <v>1</v>
      </c>
      <c r="O339" s="4">
        <f>COUNTIF(D:D,D339)</f>
        <v>1</v>
      </c>
    </row>
    <row r="340" spans="1:15" hidden="1" x14ac:dyDescent="0.25">
      <c r="A340">
        <v>339</v>
      </c>
      <c r="B340" t="s">
        <v>724</v>
      </c>
      <c r="C340" s="1">
        <v>45800</v>
      </c>
      <c r="D340" t="s">
        <v>725</v>
      </c>
      <c r="E340" t="e">
        <v>#N/A</v>
      </c>
      <c r="F340" t="s">
        <v>11</v>
      </c>
      <c r="G340" t="s">
        <v>726</v>
      </c>
      <c r="H340" t="s">
        <v>15</v>
      </c>
      <c r="I340" t="s">
        <v>727</v>
      </c>
      <c r="J340" s="2">
        <v>111.58</v>
      </c>
      <c r="K340" s="6" t="str">
        <f>I340&amp;J340</f>
        <v>20250109 SI468021X57643111.58</v>
      </c>
      <c r="L340" s="4" t="str">
        <f>IF(COUNTIF(D:D,D340)&gt;1,"D","N")</f>
        <v>N</v>
      </c>
      <c r="M340" s="4">
        <f>COUNTIFS(D:D,D340,F:F,"UPDATED")</f>
        <v>0</v>
      </c>
      <c r="N340" s="4">
        <f>COUNTIFS(D:D,D340,F:F,"NOT UPDATED")</f>
        <v>1</v>
      </c>
      <c r="O340" s="4">
        <f>COUNTIF(D:D,D340)</f>
        <v>1</v>
      </c>
    </row>
    <row r="341" spans="1:15" x14ac:dyDescent="0.25">
      <c r="A341">
        <v>115</v>
      </c>
      <c r="B341" t="s">
        <v>341</v>
      </c>
      <c r="C341" s="1">
        <v>45784</v>
      </c>
      <c r="D341" t="s">
        <v>439</v>
      </c>
      <c r="E341" t="e">
        <v>#N/A</v>
      </c>
      <c r="F341" t="s">
        <v>11</v>
      </c>
      <c r="G341" s="2">
        <v>0</v>
      </c>
      <c r="H341" t="s">
        <v>29</v>
      </c>
      <c r="I341" t="s">
        <v>451</v>
      </c>
      <c r="J341" s="2">
        <v>-146.91999999999999</v>
      </c>
      <c r="K341" s="6" t="str">
        <f>I341&amp;J341</f>
        <v>8.02024312503443N0X00.SI429117X95057-146.92</v>
      </c>
      <c r="L341" s="4" t="str">
        <f>IF(COUNTIF(D:D,D341)&gt;1,"D","N")</f>
        <v>D</v>
      </c>
      <c r="M341" s="4">
        <f>COUNTIFS(D:D,D341,F:F,"UPDATED")</f>
        <v>0</v>
      </c>
      <c r="N341" s="4">
        <f>COUNTIFS(D:D,D341,F:F,"NOT UPDATED")</f>
        <v>36</v>
      </c>
      <c r="O341" s="4">
        <f>COUNTIF(D:D,D341)</f>
        <v>36</v>
      </c>
    </row>
    <row r="342" spans="1:15" x14ac:dyDescent="0.25">
      <c r="A342">
        <v>91</v>
      </c>
      <c r="B342" t="s">
        <v>341</v>
      </c>
      <c r="C342" s="1">
        <v>45784</v>
      </c>
      <c r="D342" t="s">
        <v>439</v>
      </c>
      <c r="E342" t="e">
        <v>#N/A</v>
      </c>
      <c r="F342" t="s">
        <v>11</v>
      </c>
      <c r="G342" s="2">
        <v>0</v>
      </c>
      <c r="H342" t="s">
        <v>29</v>
      </c>
      <c r="I342" t="s">
        <v>445</v>
      </c>
      <c r="J342" s="2">
        <v>-77.010000000000005</v>
      </c>
      <c r="K342" s="6" t="str">
        <f>I342&amp;J342</f>
        <v>8.02024312506070N0X00.SI428904X93610-77.01</v>
      </c>
      <c r="L342" s="4" t="str">
        <f>IF(COUNTIF(D:D,D342)&gt;1,"D","N")</f>
        <v>D</v>
      </c>
      <c r="M342" s="4">
        <f>COUNTIFS(D:D,D342,F:F,"UPDATED")</f>
        <v>0</v>
      </c>
      <c r="N342" s="4">
        <f>COUNTIFS(D:D,D342,F:F,"NOT UPDATED")</f>
        <v>36</v>
      </c>
      <c r="O342" s="4">
        <f>COUNTIF(D:D,D342)</f>
        <v>36</v>
      </c>
    </row>
    <row r="343" spans="1:15" x14ac:dyDescent="0.25">
      <c r="A343">
        <v>109</v>
      </c>
      <c r="B343" t="s">
        <v>341</v>
      </c>
      <c r="C343" s="1">
        <v>45784</v>
      </c>
      <c r="D343" t="s">
        <v>439</v>
      </c>
      <c r="E343" t="e">
        <v>#N/A</v>
      </c>
      <c r="F343" t="s">
        <v>11</v>
      </c>
      <c r="G343" s="2">
        <v>0</v>
      </c>
      <c r="H343" t="s">
        <v>29</v>
      </c>
      <c r="I343" t="s">
        <v>445</v>
      </c>
      <c r="J343" s="2">
        <v>-77.010000000000005</v>
      </c>
      <c r="K343" s="6" t="str">
        <f>I343&amp;J343</f>
        <v>8.02024312506070N0X00.SI428904X93610-77.01</v>
      </c>
      <c r="L343" s="4" t="str">
        <f>IF(COUNTIF(D:D,D343)&gt;1,"D","N")</f>
        <v>D</v>
      </c>
      <c r="M343" s="4">
        <f>COUNTIFS(D:D,D343,F:F,"UPDATED")</f>
        <v>0</v>
      </c>
      <c r="N343" s="4">
        <f>COUNTIFS(D:D,D343,F:F,"NOT UPDATED")</f>
        <v>36</v>
      </c>
      <c r="O343" s="4">
        <f>COUNTIF(D:D,D343)</f>
        <v>36</v>
      </c>
    </row>
    <row r="344" spans="1:15" x14ac:dyDescent="0.25">
      <c r="A344">
        <v>92</v>
      </c>
      <c r="B344" t="s">
        <v>341</v>
      </c>
      <c r="C344" s="1">
        <v>45784</v>
      </c>
      <c r="D344" t="s">
        <v>439</v>
      </c>
      <c r="E344" t="e">
        <v>#N/A</v>
      </c>
      <c r="F344" t="s">
        <v>11</v>
      </c>
      <c r="G344" s="2">
        <v>0</v>
      </c>
      <c r="H344" t="s">
        <v>29</v>
      </c>
      <c r="I344" t="s">
        <v>446</v>
      </c>
      <c r="J344" s="2">
        <v>-77.010000000000005</v>
      </c>
      <c r="K344" s="6" t="str">
        <f>I344&amp;J344</f>
        <v>8.02024312508076L0X00.SI428907X93610-77.01</v>
      </c>
      <c r="L344" s="4" t="str">
        <f>IF(COUNTIF(D:D,D344)&gt;1,"D","N")</f>
        <v>D</v>
      </c>
      <c r="M344" s="4">
        <f>COUNTIFS(D:D,D344,F:F,"UPDATED")</f>
        <v>0</v>
      </c>
      <c r="N344" s="4">
        <f>COUNTIFS(D:D,D344,F:F,"NOT UPDATED")</f>
        <v>36</v>
      </c>
      <c r="O344" s="4">
        <f>COUNTIF(D:D,D344)</f>
        <v>36</v>
      </c>
    </row>
    <row r="345" spans="1:15" x14ac:dyDescent="0.25">
      <c r="A345">
        <v>110</v>
      </c>
      <c r="B345" t="s">
        <v>341</v>
      </c>
      <c r="C345" s="1">
        <v>45784</v>
      </c>
      <c r="D345" t="s">
        <v>439</v>
      </c>
      <c r="E345" t="e">
        <v>#N/A</v>
      </c>
      <c r="F345" t="s">
        <v>11</v>
      </c>
      <c r="G345" s="2">
        <v>0</v>
      </c>
      <c r="H345" t="s">
        <v>29</v>
      </c>
      <c r="I345" t="s">
        <v>446</v>
      </c>
      <c r="J345" s="2">
        <v>-77.010000000000005</v>
      </c>
      <c r="K345" s="6" t="str">
        <f>I345&amp;J345</f>
        <v>8.02024312508076L0X00.SI428907X93610-77.01</v>
      </c>
      <c r="L345" s="4" t="str">
        <f>IF(COUNTIF(D:D,D345)&gt;1,"D","N")</f>
        <v>D</v>
      </c>
      <c r="M345" s="4">
        <f>COUNTIFS(D:D,D345,F:F,"UPDATED")</f>
        <v>0</v>
      </c>
      <c r="N345" s="4">
        <f>COUNTIFS(D:D,D345,F:F,"NOT UPDATED")</f>
        <v>36</v>
      </c>
      <c r="O345" s="4">
        <f>COUNTIF(D:D,D345)</f>
        <v>36</v>
      </c>
    </row>
    <row r="346" spans="1:15" x14ac:dyDescent="0.25">
      <c r="A346">
        <v>96</v>
      </c>
      <c r="B346" t="s">
        <v>341</v>
      </c>
      <c r="C346" s="1">
        <v>45784</v>
      </c>
      <c r="D346" t="s">
        <v>439</v>
      </c>
      <c r="E346" t="e">
        <v>#N/A</v>
      </c>
      <c r="F346" t="s">
        <v>11</v>
      </c>
      <c r="G346" s="2">
        <v>0</v>
      </c>
      <c r="H346" t="s">
        <v>29</v>
      </c>
      <c r="I346" t="s">
        <v>450</v>
      </c>
      <c r="J346" s="2">
        <v>-118.21</v>
      </c>
      <c r="K346" s="6" t="str">
        <f>I346&amp;J346</f>
        <v>8.02024312509702L0X00.SI428636X93520-118.21</v>
      </c>
      <c r="L346" s="4" t="str">
        <f>IF(COUNTIF(D:D,D346)&gt;1,"D","N")</f>
        <v>D</v>
      </c>
      <c r="M346" s="4">
        <f>COUNTIFS(D:D,D346,F:F,"UPDATED")</f>
        <v>0</v>
      </c>
      <c r="N346" s="4">
        <f>COUNTIFS(D:D,D346,F:F,"NOT UPDATED")</f>
        <v>36</v>
      </c>
      <c r="O346" s="4">
        <f>COUNTIF(D:D,D346)</f>
        <v>36</v>
      </c>
    </row>
    <row r="347" spans="1:15" x14ac:dyDescent="0.25">
      <c r="A347">
        <v>114</v>
      </c>
      <c r="B347" t="s">
        <v>341</v>
      </c>
      <c r="C347" s="1">
        <v>45784</v>
      </c>
      <c r="D347" t="s">
        <v>439</v>
      </c>
      <c r="E347" t="e">
        <v>#N/A</v>
      </c>
      <c r="F347" t="s">
        <v>11</v>
      </c>
      <c r="G347" s="2">
        <v>0</v>
      </c>
      <c r="H347" t="s">
        <v>29</v>
      </c>
      <c r="I347" t="s">
        <v>450</v>
      </c>
      <c r="J347" s="2">
        <v>-118.21</v>
      </c>
      <c r="K347" s="6" t="str">
        <f>I347&amp;J347</f>
        <v>8.02024312509702L0X00.SI428636X93520-118.21</v>
      </c>
      <c r="L347" s="4" t="str">
        <f>IF(COUNTIF(D:D,D347)&gt;1,"D","N")</f>
        <v>D</v>
      </c>
      <c r="M347" s="4">
        <f>COUNTIFS(D:D,D347,F:F,"UPDATED")</f>
        <v>0</v>
      </c>
      <c r="N347" s="4">
        <f>COUNTIFS(D:D,D347,F:F,"NOT UPDATED")</f>
        <v>36</v>
      </c>
      <c r="O347" s="4">
        <f>COUNTIF(D:D,D347)</f>
        <v>36</v>
      </c>
    </row>
    <row r="348" spans="1:15" x14ac:dyDescent="0.25">
      <c r="A348">
        <v>102</v>
      </c>
      <c r="B348" t="s">
        <v>341</v>
      </c>
      <c r="C348" s="1">
        <v>45784</v>
      </c>
      <c r="D348" t="s">
        <v>439</v>
      </c>
      <c r="E348" t="e">
        <v>#N/A</v>
      </c>
      <c r="F348" t="s">
        <v>11</v>
      </c>
      <c r="G348" s="2">
        <v>0</v>
      </c>
      <c r="H348" t="s">
        <v>29</v>
      </c>
      <c r="I348" s="3" t="s">
        <v>456</v>
      </c>
      <c r="J348" s="2">
        <v>-4.6399999999999997</v>
      </c>
      <c r="K348" s="6" t="str">
        <f>I348&amp;J348</f>
        <v>8.02024313504E7350X00.SI430553X63598-4.64</v>
      </c>
      <c r="L348" s="4" t="str">
        <f>IF(COUNTIF(D:D,D348)&gt;1,"D","N")</f>
        <v>D</v>
      </c>
      <c r="M348" s="4">
        <f>COUNTIFS(D:D,D348,F:F,"UPDATED")</f>
        <v>0</v>
      </c>
      <c r="N348" s="4">
        <f>COUNTIFS(D:D,D348,F:F,"NOT UPDATED")</f>
        <v>36</v>
      </c>
      <c r="O348" s="4">
        <f>COUNTIF(D:D,D348)</f>
        <v>36</v>
      </c>
    </row>
    <row r="349" spans="1:15" hidden="1" x14ac:dyDescent="0.25">
      <c r="A349">
        <v>348</v>
      </c>
      <c r="B349" t="s">
        <v>94</v>
      </c>
      <c r="C349" s="1">
        <v>45807</v>
      </c>
      <c r="D349" t="s">
        <v>734</v>
      </c>
      <c r="E349" t="e">
        <v>#N/A</v>
      </c>
      <c r="F349" t="s">
        <v>11</v>
      </c>
      <c r="G349" s="2">
        <v>0</v>
      </c>
      <c r="H349" t="s">
        <v>29</v>
      </c>
      <c r="I349" t="s">
        <v>735</v>
      </c>
      <c r="J349" s="2">
        <v>-19.809999999999999</v>
      </c>
      <c r="K349" s="6" t="str">
        <f>I349&amp;J349</f>
        <v>8.0202422750319F70X01.SI352141X6122-19.81</v>
      </c>
      <c r="L349" s="4" t="str">
        <f>IF(COUNTIF(D:D,D349)&gt;1,"D","N")</f>
        <v>N</v>
      </c>
      <c r="M349" s="4">
        <f>COUNTIFS(D:D,D349,F:F,"UPDATED")</f>
        <v>0</v>
      </c>
      <c r="N349" s="4">
        <f>COUNTIFS(D:D,D349,F:F,"NOT UPDATED")</f>
        <v>1</v>
      </c>
      <c r="O349" s="4">
        <f>COUNTIF(D:D,D349)</f>
        <v>1</v>
      </c>
    </row>
    <row r="350" spans="1:15" x14ac:dyDescent="0.25">
      <c r="A350">
        <v>120</v>
      </c>
      <c r="B350" t="s">
        <v>341</v>
      </c>
      <c r="C350" s="1">
        <v>45784</v>
      </c>
      <c r="D350" t="s">
        <v>439</v>
      </c>
      <c r="E350" t="e">
        <v>#N/A</v>
      </c>
      <c r="F350" t="s">
        <v>11</v>
      </c>
      <c r="G350" s="2">
        <v>0</v>
      </c>
      <c r="H350" t="s">
        <v>29</v>
      </c>
      <c r="I350" s="3" t="s">
        <v>456</v>
      </c>
      <c r="J350" s="2">
        <v>-4.6399999999999997</v>
      </c>
      <c r="K350" s="6" t="str">
        <f>I350&amp;J350</f>
        <v>8.02024313504E7350X00.SI430553X63598-4.64</v>
      </c>
      <c r="L350" s="4" t="str">
        <f>IF(COUNTIF(D:D,D350)&gt;1,"D","N")</f>
        <v>D</v>
      </c>
      <c r="M350" s="4">
        <f>COUNTIFS(D:D,D350,F:F,"UPDATED")</f>
        <v>0</v>
      </c>
      <c r="N350" s="4">
        <f>COUNTIFS(D:D,D350,F:F,"NOT UPDATED")</f>
        <v>36</v>
      </c>
      <c r="O350" s="4">
        <f>COUNTIF(D:D,D350)</f>
        <v>36</v>
      </c>
    </row>
    <row r="351" spans="1:15" x14ac:dyDescent="0.25">
      <c r="A351">
        <v>87</v>
      </c>
      <c r="B351" t="s">
        <v>341</v>
      </c>
      <c r="C351" s="1">
        <v>45784</v>
      </c>
      <c r="D351" t="s">
        <v>439</v>
      </c>
      <c r="E351" t="e">
        <v>#N/A</v>
      </c>
      <c r="F351" t="s">
        <v>11</v>
      </c>
      <c r="G351" s="2">
        <v>0</v>
      </c>
      <c r="H351" t="s">
        <v>29</v>
      </c>
      <c r="I351" s="3" t="s">
        <v>441</v>
      </c>
      <c r="J351" s="2">
        <v>-140.76</v>
      </c>
      <c r="K351" s="6" t="str">
        <f>I351&amp;J351</f>
        <v>8.02024313506E2300X00.SI430846X56593-140.76</v>
      </c>
      <c r="L351" s="4" t="str">
        <f>IF(COUNTIF(D:D,D351)&gt;1,"D","N")</f>
        <v>D</v>
      </c>
      <c r="M351" s="4">
        <f>COUNTIFS(D:D,D351,F:F,"UPDATED")</f>
        <v>0</v>
      </c>
      <c r="N351" s="4">
        <f>COUNTIFS(D:D,D351,F:F,"NOT UPDATED")</f>
        <v>36</v>
      </c>
      <c r="O351" s="4">
        <f>COUNTIF(D:D,D351)</f>
        <v>36</v>
      </c>
    </row>
    <row r="352" spans="1:15" hidden="1" x14ac:dyDescent="0.25">
      <c r="A352">
        <v>351</v>
      </c>
      <c r="B352" t="s">
        <v>74</v>
      </c>
      <c r="C352" s="1">
        <v>45806</v>
      </c>
      <c r="D352" t="s">
        <v>737</v>
      </c>
      <c r="E352" t="e">
        <v>#N/A</v>
      </c>
      <c r="F352" t="s">
        <v>11</v>
      </c>
      <c r="G352" s="2">
        <v>0</v>
      </c>
      <c r="H352" t="s">
        <v>15</v>
      </c>
      <c r="I352" t="s">
        <v>676</v>
      </c>
      <c r="J352" s="2">
        <v>251320510801</v>
      </c>
      <c r="K352" s="6" t="str">
        <f>I352&amp;J352</f>
        <v>SI537350X86630251320510801</v>
      </c>
      <c r="L352" s="4" t="str">
        <f>IF(COUNTIF(D:D,D352)&gt;1,"D","N")</f>
        <v>N</v>
      </c>
      <c r="M352" s="4">
        <f>COUNTIFS(D:D,D352,F:F,"UPDATED")</f>
        <v>0</v>
      </c>
      <c r="N352" s="4">
        <f>COUNTIFS(D:D,D352,F:F,"NOT UPDATED")</f>
        <v>1</v>
      </c>
      <c r="O352" s="4">
        <f>COUNTIF(D:D,D352)</f>
        <v>1</v>
      </c>
    </row>
    <row r="353" spans="1:15" x14ac:dyDescent="0.25">
      <c r="A353">
        <v>105</v>
      </c>
      <c r="B353" t="s">
        <v>341</v>
      </c>
      <c r="C353" s="1">
        <v>45784</v>
      </c>
      <c r="D353" t="s">
        <v>439</v>
      </c>
      <c r="E353" t="e">
        <v>#N/A</v>
      </c>
      <c r="F353" t="s">
        <v>11</v>
      </c>
      <c r="G353" s="2">
        <v>0</v>
      </c>
      <c r="H353" t="s">
        <v>29</v>
      </c>
      <c r="I353" s="3" t="s">
        <v>441</v>
      </c>
      <c r="J353" s="2">
        <v>-140.76</v>
      </c>
      <c r="K353" s="6" t="str">
        <f>I353&amp;J353</f>
        <v>8.02024313506E2300X00.SI430846X56593-140.76</v>
      </c>
      <c r="L353" s="4" t="str">
        <f>IF(COUNTIF(D:D,D353)&gt;1,"D","N")</f>
        <v>D</v>
      </c>
      <c r="M353" s="4">
        <f>COUNTIFS(D:D,D353,F:F,"UPDATED")</f>
        <v>0</v>
      </c>
      <c r="N353" s="4">
        <f>COUNTIFS(D:D,D353,F:F,"NOT UPDATED")</f>
        <v>36</v>
      </c>
      <c r="O353" s="4">
        <f>COUNTIF(D:D,D353)</f>
        <v>36</v>
      </c>
    </row>
    <row r="354" spans="1:15" x14ac:dyDescent="0.25">
      <c r="A354">
        <v>95</v>
      </c>
      <c r="B354" t="s">
        <v>341</v>
      </c>
      <c r="C354" s="1">
        <v>45784</v>
      </c>
      <c r="D354" t="s">
        <v>439</v>
      </c>
      <c r="E354" t="e">
        <v>#N/A</v>
      </c>
      <c r="F354" t="s">
        <v>11</v>
      </c>
      <c r="G354" s="2">
        <v>0</v>
      </c>
      <c r="H354" t="s">
        <v>29</v>
      </c>
      <c r="I354" t="s">
        <v>449</v>
      </c>
      <c r="J354" s="2">
        <v>-134.06</v>
      </c>
      <c r="K354" s="6" t="str">
        <f>I354&amp;J354</f>
        <v>8.0202431350895B00X00.SI429952X89822-134.06</v>
      </c>
      <c r="L354" s="4" t="str">
        <f>IF(COUNTIF(D:D,D354)&gt;1,"D","N")</f>
        <v>D</v>
      </c>
      <c r="M354" s="4">
        <f>COUNTIFS(D:D,D354,F:F,"UPDATED")</f>
        <v>0</v>
      </c>
      <c r="N354" s="4">
        <f>COUNTIFS(D:D,D354,F:F,"NOT UPDATED")</f>
        <v>36</v>
      </c>
      <c r="O354" s="4">
        <f>COUNTIF(D:D,D354)</f>
        <v>36</v>
      </c>
    </row>
    <row r="355" spans="1:15" x14ac:dyDescent="0.25">
      <c r="A355">
        <v>113</v>
      </c>
      <c r="B355" t="s">
        <v>341</v>
      </c>
      <c r="C355" s="1">
        <v>45784</v>
      </c>
      <c r="D355" t="s">
        <v>439</v>
      </c>
      <c r="E355" t="e">
        <v>#N/A</v>
      </c>
      <c r="F355" t="s">
        <v>11</v>
      </c>
      <c r="G355" s="2">
        <v>0</v>
      </c>
      <c r="H355" t="s">
        <v>29</v>
      </c>
      <c r="I355" t="s">
        <v>449</v>
      </c>
      <c r="J355" s="2">
        <v>-134.06</v>
      </c>
      <c r="K355" s="6" t="str">
        <f>I355&amp;J355</f>
        <v>8.0202431350895B00X00.SI429952X89822-134.06</v>
      </c>
      <c r="L355" s="4" t="str">
        <f>IF(COUNTIF(D:D,D355)&gt;1,"D","N")</f>
        <v>D</v>
      </c>
      <c r="M355" s="4">
        <f>COUNTIFS(D:D,D355,F:F,"UPDATED")</f>
        <v>0</v>
      </c>
      <c r="N355" s="4">
        <f>COUNTIFS(D:D,D355,F:F,"NOT UPDATED")</f>
        <v>36</v>
      </c>
      <c r="O355" s="4">
        <f>COUNTIF(D:D,D355)</f>
        <v>36</v>
      </c>
    </row>
    <row r="356" spans="1:15" x14ac:dyDescent="0.25">
      <c r="A356">
        <v>89</v>
      </c>
      <c r="B356" t="s">
        <v>341</v>
      </c>
      <c r="C356" s="1">
        <v>45784</v>
      </c>
      <c r="D356" t="s">
        <v>439</v>
      </c>
      <c r="E356" t="e">
        <v>#N/A</v>
      </c>
      <c r="F356" t="s">
        <v>11</v>
      </c>
      <c r="G356" s="2">
        <v>0</v>
      </c>
      <c r="H356" t="s">
        <v>29</v>
      </c>
      <c r="I356" t="s">
        <v>443</v>
      </c>
      <c r="J356" s="2">
        <v>-149.16999999999999</v>
      </c>
      <c r="K356" s="6" t="str">
        <f>I356&amp;J356</f>
        <v>8.02024316500K3810X00.SI431376X23483-149.17</v>
      </c>
      <c r="L356" s="4" t="str">
        <f>IF(COUNTIF(D:D,D356)&gt;1,"D","N")</f>
        <v>D</v>
      </c>
      <c r="M356" s="4">
        <f>COUNTIFS(D:D,D356,F:F,"UPDATED")</f>
        <v>0</v>
      </c>
      <c r="N356" s="4">
        <f>COUNTIFS(D:D,D356,F:F,"NOT UPDATED")</f>
        <v>36</v>
      </c>
      <c r="O356" s="4">
        <f>COUNTIF(D:D,D356)</f>
        <v>36</v>
      </c>
    </row>
    <row r="357" spans="1:15" x14ac:dyDescent="0.25">
      <c r="A357">
        <v>107</v>
      </c>
      <c r="B357" t="s">
        <v>341</v>
      </c>
      <c r="C357" s="1">
        <v>45784</v>
      </c>
      <c r="D357" t="s">
        <v>439</v>
      </c>
      <c r="E357" t="e">
        <v>#N/A</v>
      </c>
      <c r="F357" t="s">
        <v>11</v>
      </c>
      <c r="G357" s="2">
        <v>0</v>
      </c>
      <c r="H357" t="s">
        <v>29</v>
      </c>
      <c r="I357" t="s">
        <v>443</v>
      </c>
      <c r="J357" s="2">
        <v>-149.16999999999999</v>
      </c>
      <c r="K357" s="6" t="str">
        <f>I357&amp;J357</f>
        <v>8.02024316500K3810X00.SI431376X23483-149.17</v>
      </c>
      <c r="L357" s="4" t="str">
        <f>IF(COUNTIF(D:D,D357)&gt;1,"D","N")</f>
        <v>D</v>
      </c>
      <c r="M357" s="4">
        <f>COUNTIFS(D:D,D357,F:F,"UPDATED")</f>
        <v>0</v>
      </c>
      <c r="N357" s="4">
        <f>COUNTIFS(D:D,D357,F:F,"NOT UPDATED")</f>
        <v>36</v>
      </c>
      <c r="O357" s="4">
        <f>COUNTIF(D:D,D357)</f>
        <v>36</v>
      </c>
    </row>
    <row r="358" spans="1:15" x14ac:dyDescent="0.25">
      <c r="A358">
        <v>103</v>
      </c>
      <c r="B358" t="s">
        <v>341</v>
      </c>
      <c r="C358" s="1">
        <v>45784</v>
      </c>
      <c r="D358" t="s">
        <v>439</v>
      </c>
      <c r="E358" t="e">
        <v>#N/A</v>
      </c>
      <c r="F358" t="s">
        <v>11</v>
      </c>
      <c r="G358" s="2">
        <v>0</v>
      </c>
      <c r="H358" t="s">
        <v>29</v>
      </c>
      <c r="I358" t="s">
        <v>457</v>
      </c>
      <c r="J358" s="2">
        <v>-39.909999999999997</v>
      </c>
      <c r="K358" s="6" t="str">
        <f>I358&amp;J358</f>
        <v>8.02024316501K9730X00.SI431658X76442-39.91</v>
      </c>
      <c r="L358" s="4" t="str">
        <f>IF(COUNTIF(D:D,D358)&gt;1,"D","N")</f>
        <v>D</v>
      </c>
      <c r="M358" s="4">
        <f>COUNTIFS(D:D,D358,F:F,"UPDATED")</f>
        <v>0</v>
      </c>
      <c r="N358" s="4">
        <f>COUNTIFS(D:D,D358,F:F,"NOT UPDATED")</f>
        <v>36</v>
      </c>
      <c r="O358" s="4">
        <f>COUNTIF(D:D,D358)</f>
        <v>36</v>
      </c>
    </row>
    <row r="359" spans="1:15" x14ac:dyDescent="0.25">
      <c r="A359">
        <v>121</v>
      </c>
      <c r="B359" t="s">
        <v>341</v>
      </c>
      <c r="C359" s="1">
        <v>45784</v>
      </c>
      <c r="D359" t="s">
        <v>439</v>
      </c>
      <c r="E359" t="e">
        <v>#N/A</v>
      </c>
      <c r="F359" t="s">
        <v>11</v>
      </c>
      <c r="G359" s="2">
        <v>0</v>
      </c>
      <c r="H359" t="s">
        <v>29</v>
      </c>
      <c r="I359" t="s">
        <v>457</v>
      </c>
      <c r="J359" s="2">
        <v>-39.909999999999997</v>
      </c>
      <c r="K359" s="6" t="str">
        <f>I359&amp;J359</f>
        <v>8.02024316501K9730X00.SI431658X76442-39.91</v>
      </c>
      <c r="L359" s="4" t="str">
        <f>IF(COUNTIF(D:D,D359)&gt;1,"D","N")</f>
        <v>D</v>
      </c>
      <c r="M359" s="4">
        <f>COUNTIFS(D:D,D359,F:F,"UPDATED")</f>
        <v>0</v>
      </c>
      <c r="N359" s="4">
        <f>COUNTIFS(D:D,D359,F:F,"NOT UPDATED")</f>
        <v>36</v>
      </c>
      <c r="O359" s="4">
        <f>COUNTIF(D:D,D359)</f>
        <v>36</v>
      </c>
    </row>
    <row r="360" spans="1:15" x14ac:dyDescent="0.25">
      <c r="A360">
        <v>98</v>
      </c>
      <c r="B360" t="s">
        <v>341</v>
      </c>
      <c r="C360" s="1">
        <v>45784</v>
      </c>
      <c r="D360" t="s">
        <v>439</v>
      </c>
      <c r="E360" t="e">
        <v>#N/A</v>
      </c>
      <c r="F360" t="s">
        <v>11</v>
      </c>
      <c r="G360" s="2">
        <v>0</v>
      </c>
      <c r="H360" t="s">
        <v>29</v>
      </c>
      <c r="I360" t="s">
        <v>452</v>
      </c>
      <c r="J360" s="2">
        <v>-99.91</v>
      </c>
      <c r="K360" s="6" t="str">
        <f>I360&amp;J360</f>
        <v>8.0202431750K70560X00.SI432221X23240-99.91</v>
      </c>
      <c r="L360" s="4" t="str">
        <f>IF(COUNTIF(D:D,D360)&gt;1,"D","N")</f>
        <v>D</v>
      </c>
      <c r="M360" s="4">
        <f>COUNTIFS(D:D,D360,F:F,"UPDATED")</f>
        <v>0</v>
      </c>
      <c r="N360" s="4">
        <f>COUNTIFS(D:D,D360,F:F,"NOT UPDATED")</f>
        <v>36</v>
      </c>
      <c r="O360" s="4">
        <f>COUNTIF(D:D,D360)</f>
        <v>36</v>
      </c>
    </row>
    <row r="361" spans="1:15" x14ac:dyDescent="0.25">
      <c r="A361">
        <v>116</v>
      </c>
      <c r="B361" t="s">
        <v>341</v>
      </c>
      <c r="C361" s="1">
        <v>45784</v>
      </c>
      <c r="D361" t="s">
        <v>439</v>
      </c>
      <c r="E361" t="e">
        <v>#N/A</v>
      </c>
      <c r="F361" t="s">
        <v>11</v>
      </c>
      <c r="G361" s="2">
        <v>0</v>
      </c>
      <c r="H361" t="s">
        <v>29</v>
      </c>
      <c r="I361" t="s">
        <v>452</v>
      </c>
      <c r="J361" s="2">
        <v>-99.91</v>
      </c>
      <c r="K361" s="6" t="str">
        <f>I361&amp;J361</f>
        <v>8.0202431750K70560X00.SI432221X23240-99.91</v>
      </c>
      <c r="L361" s="4" t="str">
        <f>IF(COUNTIF(D:D,D361)&gt;1,"D","N")</f>
        <v>D</v>
      </c>
      <c r="M361" s="4">
        <f>COUNTIFS(D:D,D361,F:F,"UPDATED")</f>
        <v>0</v>
      </c>
      <c r="N361" s="4">
        <f>COUNTIFS(D:D,D361,F:F,"NOT UPDATED")</f>
        <v>36</v>
      </c>
      <c r="O361" s="4">
        <f>COUNTIF(D:D,D361)</f>
        <v>36</v>
      </c>
    </row>
    <row r="362" spans="1:15" hidden="1" x14ac:dyDescent="0.25">
      <c r="A362">
        <v>361</v>
      </c>
      <c r="B362" t="s">
        <v>10</v>
      </c>
      <c r="C362" s="1">
        <v>45804</v>
      </c>
      <c r="D362">
        <v>800512703</v>
      </c>
      <c r="E362" t="e">
        <v>#N/A</v>
      </c>
      <c r="F362" t="s">
        <v>11</v>
      </c>
      <c r="G362" s="2">
        <v>110396.9</v>
      </c>
      <c r="H362" t="s">
        <v>131</v>
      </c>
      <c r="I362" t="s">
        <v>498</v>
      </c>
      <c r="J362" s="2">
        <v>-1.45</v>
      </c>
      <c r="K362" s="6" t="str">
        <f>I362&amp;J362</f>
        <v>SI449844X95484-1.45</v>
      </c>
      <c r="L362" s="4" t="str">
        <f>IF(COUNTIF(D:D,D362)&gt;1,"D","N")</f>
        <v>D</v>
      </c>
      <c r="M362" s="4">
        <f>COUNTIFS(D:D,D362,F:F,"UPDATED")</f>
        <v>0</v>
      </c>
      <c r="N362" s="4">
        <f>COUNTIFS(D:D,D362,F:F,"NOT UPDATED")</f>
        <v>2</v>
      </c>
      <c r="O362" s="4">
        <f>COUNTIF(D:D,D362)</f>
        <v>2</v>
      </c>
    </row>
    <row r="363" spans="1:15" hidden="1" x14ac:dyDescent="0.25">
      <c r="A363">
        <v>362</v>
      </c>
      <c r="B363" t="s">
        <v>10</v>
      </c>
      <c r="C363" s="1">
        <v>45804</v>
      </c>
      <c r="D363">
        <v>800512703</v>
      </c>
      <c r="E363" t="e">
        <v>#N/A</v>
      </c>
      <c r="F363" t="s">
        <v>11</v>
      </c>
      <c r="G363" s="2">
        <v>110396.9</v>
      </c>
      <c r="H363" t="s">
        <v>15</v>
      </c>
      <c r="I363" t="s">
        <v>498</v>
      </c>
      <c r="J363" s="2">
        <v>-140.28</v>
      </c>
      <c r="K363" s="6" t="str">
        <f>I363&amp;J363</f>
        <v>SI449844X95484-140.28</v>
      </c>
      <c r="L363" s="4" t="str">
        <f>IF(COUNTIF(D:D,D363)&gt;1,"D","N")</f>
        <v>D</v>
      </c>
      <c r="M363" s="4">
        <f>COUNTIFS(D:D,D363,F:F,"UPDATED")</f>
        <v>0</v>
      </c>
      <c r="N363" s="4">
        <f>COUNTIFS(D:D,D363,F:F,"NOT UPDATED")</f>
        <v>2</v>
      </c>
      <c r="O363" s="4">
        <f>COUNTIF(D:D,D363)</f>
        <v>2</v>
      </c>
    </row>
    <row r="364" spans="1:15" x14ac:dyDescent="0.25">
      <c r="A364">
        <v>93</v>
      </c>
      <c r="B364" t="s">
        <v>341</v>
      </c>
      <c r="C364" s="1">
        <v>45784</v>
      </c>
      <c r="D364" t="s">
        <v>439</v>
      </c>
      <c r="E364" t="e">
        <v>#N/A</v>
      </c>
      <c r="F364" t="s">
        <v>11</v>
      </c>
      <c r="G364" s="2">
        <v>0</v>
      </c>
      <c r="H364" t="s">
        <v>29</v>
      </c>
      <c r="I364" t="s">
        <v>447</v>
      </c>
      <c r="J364" s="2">
        <v>-85.56</v>
      </c>
      <c r="K364" s="6" t="str">
        <f>I364&amp;J364</f>
        <v>8.0202431950H87610X00.SI433883X93610-85.56</v>
      </c>
      <c r="L364" s="4" t="str">
        <f>IF(COUNTIF(D:D,D364)&gt;1,"D","N")</f>
        <v>D</v>
      </c>
      <c r="M364" s="4">
        <f>COUNTIFS(D:D,D364,F:F,"UPDATED")</f>
        <v>0</v>
      </c>
      <c r="N364" s="4">
        <f>COUNTIFS(D:D,D364,F:F,"NOT UPDATED")</f>
        <v>36</v>
      </c>
      <c r="O364" s="4">
        <f>COUNTIF(D:D,D364)</f>
        <v>36</v>
      </c>
    </row>
    <row r="365" spans="1:15" x14ac:dyDescent="0.25">
      <c r="A365">
        <v>111</v>
      </c>
      <c r="B365" t="s">
        <v>341</v>
      </c>
      <c r="C365" s="1">
        <v>45784</v>
      </c>
      <c r="D365" t="s">
        <v>439</v>
      </c>
      <c r="E365" t="e">
        <v>#N/A</v>
      </c>
      <c r="F365" t="s">
        <v>11</v>
      </c>
      <c r="G365" s="2">
        <v>0</v>
      </c>
      <c r="H365" t="s">
        <v>29</v>
      </c>
      <c r="I365" t="s">
        <v>447</v>
      </c>
      <c r="J365" s="2">
        <v>-85.56</v>
      </c>
      <c r="K365" s="6" t="str">
        <f>I365&amp;J365</f>
        <v>8.0202431950H87610X00.SI433883X93610-85.56</v>
      </c>
      <c r="L365" s="4" t="str">
        <f>IF(COUNTIF(D:D,D365)&gt;1,"D","N")</f>
        <v>D</v>
      </c>
      <c r="M365" s="4">
        <f>COUNTIFS(D:D,D365,F:F,"UPDATED")</f>
        <v>0</v>
      </c>
      <c r="N365" s="4">
        <f>COUNTIFS(D:D,D365,F:F,"NOT UPDATED")</f>
        <v>36</v>
      </c>
      <c r="O365" s="4">
        <f>COUNTIF(D:D,D365)</f>
        <v>36</v>
      </c>
    </row>
    <row r="366" spans="1:15" x14ac:dyDescent="0.25">
      <c r="A366">
        <v>94</v>
      </c>
      <c r="B366" t="s">
        <v>341</v>
      </c>
      <c r="C366" s="1">
        <v>45784</v>
      </c>
      <c r="D366" t="s">
        <v>439</v>
      </c>
      <c r="E366" t="e">
        <v>#N/A</v>
      </c>
      <c r="F366" t="s">
        <v>11</v>
      </c>
      <c r="G366" s="2">
        <v>0</v>
      </c>
      <c r="H366" t="s">
        <v>29</v>
      </c>
      <c r="I366" t="s">
        <v>448</v>
      </c>
      <c r="J366" s="2">
        <v>-85.56</v>
      </c>
      <c r="K366" s="6" t="str">
        <f>I366&amp;J366</f>
        <v>8.0202431950J89260X00.SI433884X93610-85.56</v>
      </c>
      <c r="L366" s="4" t="str">
        <f>IF(COUNTIF(D:D,D366)&gt;1,"D","N")</f>
        <v>D</v>
      </c>
      <c r="M366" s="4">
        <f>COUNTIFS(D:D,D366,F:F,"UPDATED")</f>
        <v>0</v>
      </c>
      <c r="N366" s="4">
        <f>COUNTIFS(D:D,D366,F:F,"NOT UPDATED")</f>
        <v>36</v>
      </c>
      <c r="O366" s="4">
        <f>COUNTIF(D:D,D366)</f>
        <v>36</v>
      </c>
    </row>
    <row r="367" spans="1:15" x14ac:dyDescent="0.25">
      <c r="A367">
        <v>112</v>
      </c>
      <c r="B367" t="s">
        <v>341</v>
      </c>
      <c r="C367" s="1">
        <v>45784</v>
      </c>
      <c r="D367" t="s">
        <v>439</v>
      </c>
      <c r="E367" t="e">
        <v>#N/A</v>
      </c>
      <c r="F367" t="s">
        <v>11</v>
      </c>
      <c r="G367" s="2">
        <v>0</v>
      </c>
      <c r="H367" t="s">
        <v>29</v>
      </c>
      <c r="I367" t="s">
        <v>448</v>
      </c>
      <c r="J367" s="2">
        <v>-85.56</v>
      </c>
      <c r="K367" s="6" t="str">
        <f>I367&amp;J367</f>
        <v>8.0202431950J89260X00.SI433884X93610-85.56</v>
      </c>
      <c r="L367" s="4" t="str">
        <f>IF(COUNTIF(D:D,D367)&gt;1,"D","N")</f>
        <v>D</v>
      </c>
      <c r="M367" s="4">
        <f>COUNTIFS(D:D,D367,F:F,"UPDATED")</f>
        <v>0</v>
      </c>
      <c r="N367" s="4">
        <f>COUNTIFS(D:D,D367,F:F,"NOT UPDATED")</f>
        <v>36</v>
      </c>
      <c r="O367" s="4">
        <f>COUNTIF(D:D,D367)</f>
        <v>36</v>
      </c>
    </row>
    <row r="368" spans="1:15" x14ac:dyDescent="0.25">
      <c r="A368">
        <v>325</v>
      </c>
      <c r="B368" t="s">
        <v>345</v>
      </c>
      <c r="C368" s="1">
        <v>45803</v>
      </c>
      <c r="D368" t="s">
        <v>704</v>
      </c>
      <c r="E368" t="e">
        <v>#N/A</v>
      </c>
      <c r="F368" t="s">
        <v>11</v>
      </c>
      <c r="G368" s="2">
        <v>0</v>
      </c>
      <c r="H368" t="s">
        <v>12</v>
      </c>
      <c r="I368" s="3">
        <v>925143000000000</v>
      </c>
      <c r="J368" s="2">
        <v>3.82</v>
      </c>
      <c r="K368" s="6" t="str">
        <f>I368&amp;J368</f>
        <v>9251430000000003.82</v>
      </c>
      <c r="L368" s="4" t="str">
        <f>IF(COUNTIF(D:D,D368)&gt;1,"D","N")</f>
        <v>D</v>
      </c>
      <c r="M368" s="4">
        <f>COUNTIFS(D:D,D368,F:F,"UPDATED")</f>
        <v>0</v>
      </c>
      <c r="N368" s="4">
        <f>COUNTIFS(D:D,D368,F:F,"NOT UPDATED")</f>
        <v>2</v>
      </c>
      <c r="O368" s="4">
        <f>COUNTIF(D:D,D368)</f>
        <v>2</v>
      </c>
    </row>
    <row r="369" spans="1:15" x14ac:dyDescent="0.25">
      <c r="A369">
        <v>363</v>
      </c>
      <c r="B369" t="s">
        <v>27</v>
      </c>
      <c r="C369" s="1">
        <v>45803</v>
      </c>
      <c r="D369">
        <v>925146000342548</v>
      </c>
      <c r="E369" t="e">
        <v>#N/A</v>
      </c>
      <c r="F369" t="s">
        <v>11</v>
      </c>
      <c r="G369" s="2">
        <v>0</v>
      </c>
      <c r="H369" t="s">
        <v>12</v>
      </c>
      <c r="I369" s="3">
        <v>925143000000000</v>
      </c>
      <c r="J369" s="2">
        <v>3.82</v>
      </c>
      <c r="K369" s="6" t="str">
        <f>I369&amp;J369</f>
        <v>9251430000000003.82</v>
      </c>
      <c r="L369" s="4" t="str">
        <f>IF(COUNTIF(D:D,D369)&gt;1,"D","N")</f>
        <v>D</v>
      </c>
      <c r="M369" s="4">
        <f>COUNTIFS(D:D,D369,F:F,"UPDATED")</f>
        <v>0</v>
      </c>
      <c r="N369" s="4">
        <f>COUNTIFS(D:D,D369,F:F,"NOT UPDATED")</f>
        <v>2</v>
      </c>
      <c r="O369" s="4">
        <f>COUNTIF(D:D,D369)</f>
        <v>2</v>
      </c>
    </row>
    <row r="370" spans="1:15" x14ac:dyDescent="0.25">
      <c r="A370">
        <v>330</v>
      </c>
      <c r="B370" t="s">
        <v>345</v>
      </c>
      <c r="C370" s="1">
        <v>45800</v>
      </c>
      <c r="D370" t="s">
        <v>711</v>
      </c>
      <c r="E370" t="e">
        <v>#N/A</v>
      </c>
      <c r="F370" t="s">
        <v>11</v>
      </c>
      <c r="G370" s="2">
        <v>0</v>
      </c>
      <c r="H370" t="s">
        <v>12</v>
      </c>
      <c r="I370" s="3">
        <v>925143000000000</v>
      </c>
      <c r="J370" s="2">
        <v>-3.82</v>
      </c>
      <c r="K370" s="6" t="str">
        <f>I370&amp;J370</f>
        <v>925143000000000-3.82</v>
      </c>
      <c r="L370" s="4" t="str">
        <f>IF(COUNTIF(D:D,D370)&gt;1,"D","N")</f>
        <v>N</v>
      </c>
      <c r="M370" s="4">
        <f>COUNTIFS(D:D,D370,F:F,"UPDATED")</f>
        <v>0</v>
      </c>
      <c r="N370" s="4">
        <f>COUNTIFS(D:D,D370,F:F,"NOT UPDATED")</f>
        <v>1</v>
      </c>
      <c r="O370" s="4">
        <f>COUNTIF(D:D,D370)</f>
        <v>1</v>
      </c>
    </row>
    <row r="371" spans="1:15" x14ac:dyDescent="0.25">
      <c r="A371">
        <v>366</v>
      </c>
      <c r="B371" t="s">
        <v>27</v>
      </c>
      <c r="C371" s="1">
        <v>45800</v>
      </c>
      <c r="D371">
        <v>925143000142727</v>
      </c>
      <c r="E371" t="e">
        <v>#N/A</v>
      </c>
      <c r="F371" t="s">
        <v>11</v>
      </c>
      <c r="G371" s="2">
        <v>0</v>
      </c>
      <c r="H371" t="s">
        <v>12</v>
      </c>
      <c r="I371" s="3">
        <v>925143000000000</v>
      </c>
      <c r="J371" s="2">
        <v>-3.82</v>
      </c>
      <c r="K371" s="6" t="str">
        <f>I371&amp;J371</f>
        <v>925143000000000-3.82</v>
      </c>
      <c r="L371" s="4" t="str">
        <f>IF(COUNTIF(D:D,D371)&gt;1,"D","N")</f>
        <v>N</v>
      </c>
      <c r="M371" s="4">
        <f>COUNTIFS(D:D,D371,F:F,"UPDATED")</f>
        <v>0</v>
      </c>
      <c r="N371" s="4">
        <f>COUNTIFS(D:D,D371,F:F,"NOT UPDATED")</f>
        <v>1</v>
      </c>
      <c r="O371" s="4">
        <f>COUNTIF(D:D,D371)</f>
        <v>1</v>
      </c>
    </row>
    <row r="372" spans="1:15" x14ac:dyDescent="0.25">
      <c r="A372">
        <v>326</v>
      </c>
      <c r="B372" t="s">
        <v>345</v>
      </c>
      <c r="C372" s="1">
        <v>45803</v>
      </c>
      <c r="D372" t="s">
        <v>704</v>
      </c>
      <c r="E372" t="e">
        <v>#N/A</v>
      </c>
      <c r="F372" t="s">
        <v>11</v>
      </c>
      <c r="G372" s="2">
        <v>0</v>
      </c>
      <c r="H372" t="s">
        <v>12</v>
      </c>
      <c r="I372" s="3">
        <v>925146000000000</v>
      </c>
      <c r="J372" s="2">
        <v>-3.82</v>
      </c>
      <c r="K372" s="6" t="str">
        <f>I372&amp;J372</f>
        <v>925146000000000-3.82</v>
      </c>
      <c r="L372" s="4" t="str">
        <f>IF(COUNTIF(D:D,D372)&gt;1,"D","N")</f>
        <v>D</v>
      </c>
      <c r="M372" s="4">
        <f>COUNTIFS(D:D,D372,F:F,"UPDATED")</f>
        <v>0</v>
      </c>
      <c r="N372" s="4">
        <f>COUNTIFS(D:D,D372,F:F,"NOT UPDATED")</f>
        <v>2</v>
      </c>
      <c r="O372" s="4">
        <f>COUNTIF(D:D,D372)</f>
        <v>2</v>
      </c>
    </row>
    <row r="373" spans="1:15" x14ac:dyDescent="0.25">
      <c r="A373">
        <v>364</v>
      </c>
      <c r="B373" t="s">
        <v>27</v>
      </c>
      <c r="C373" s="1">
        <v>45803</v>
      </c>
      <c r="D373">
        <v>925146000342548</v>
      </c>
      <c r="E373" t="e">
        <v>#N/A</v>
      </c>
      <c r="F373" t="s">
        <v>11</v>
      </c>
      <c r="G373" s="2">
        <v>0</v>
      </c>
      <c r="H373" t="s">
        <v>12</v>
      </c>
      <c r="I373" s="3">
        <v>925146000000000</v>
      </c>
      <c r="J373" s="2">
        <v>-3.82</v>
      </c>
      <c r="K373" s="6" t="str">
        <f>I373&amp;J373</f>
        <v>925146000000000-3.82</v>
      </c>
      <c r="L373" s="4" t="str">
        <f>IF(COUNTIF(D:D,D373)&gt;1,"D","N")</f>
        <v>D</v>
      </c>
      <c r="M373" s="4">
        <f>COUNTIFS(D:D,D373,F:F,"UPDATED")</f>
        <v>0</v>
      </c>
      <c r="N373" s="4">
        <f>COUNTIFS(D:D,D373,F:F,"NOT UPDATED")</f>
        <v>2</v>
      </c>
      <c r="O373" s="4">
        <f>COUNTIF(D:D,D373)</f>
        <v>2</v>
      </c>
    </row>
    <row r="374" spans="1:15" x14ac:dyDescent="0.25">
      <c r="A374">
        <v>309</v>
      </c>
      <c r="B374" t="s">
        <v>345</v>
      </c>
      <c r="C374" s="1">
        <v>45805</v>
      </c>
      <c r="D374" t="s">
        <v>679</v>
      </c>
      <c r="E374" t="e">
        <v>#N/A</v>
      </c>
      <c r="F374" t="s">
        <v>11</v>
      </c>
      <c r="G374" t="s">
        <v>680</v>
      </c>
      <c r="H374" t="s">
        <v>15</v>
      </c>
      <c r="I374" t="s">
        <v>681</v>
      </c>
      <c r="J374" s="2">
        <v>94.83</v>
      </c>
      <c r="K374" s="6" t="str">
        <f>I374&amp;J374</f>
        <v>EA37L7F0T0000-SI499300X103335-2025-02-0694.83</v>
      </c>
      <c r="L374" s="4" t="str">
        <f>IF(COUNTIF(D:D,D374)&gt;1,"D","N")</f>
        <v>D</v>
      </c>
      <c r="M374" s="4">
        <f>COUNTIFS(D:D,D374,F:F,"UPDATED")</f>
        <v>0</v>
      </c>
      <c r="N374" s="4">
        <f>COUNTIFS(D:D,D374,F:F,"NOT UPDATED")</f>
        <v>2</v>
      </c>
      <c r="O374" s="4">
        <f>COUNTIF(D:D,D374)</f>
        <v>2</v>
      </c>
    </row>
    <row r="375" spans="1:15" x14ac:dyDescent="0.25">
      <c r="A375">
        <v>352</v>
      </c>
      <c r="B375" t="s">
        <v>27</v>
      </c>
      <c r="C375" s="1">
        <v>45805</v>
      </c>
      <c r="D375">
        <v>825142000129697</v>
      </c>
      <c r="E375" t="e">
        <v>#N/A</v>
      </c>
      <c r="F375" t="s">
        <v>11</v>
      </c>
      <c r="G375" s="2">
        <v>9458.0300000000007</v>
      </c>
      <c r="H375" t="s">
        <v>15</v>
      </c>
      <c r="I375" t="s">
        <v>681</v>
      </c>
      <c r="J375" s="2">
        <v>94.83</v>
      </c>
      <c r="K375" s="6" t="str">
        <f>I375&amp;J375</f>
        <v>EA37L7F0T0000-SI499300X103335-2025-02-0694.83</v>
      </c>
      <c r="L375" s="4" t="str">
        <f>IF(COUNTIF(D:D,D375)&gt;1,"D","N")</f>
        <v>D</v>
      </c>
      <c r="M375" s="4">
        <f>COUNTIFS(D:D,D375,F:F,"UPDATED")</f>
        <v>0</v>
      </c>
      <c r="N375" s="4">
        <f>COUNTIFS(D:D,D375,F:F,"NOT UPDATED")</f>
        <v>2</v>
      </c>
      <c r="O375" s="4">
        <f>COUNTIF(D:D,D375)</f>
        <v>2</v>
      </c>
    </row>
    <row r="376" spans="1:15" x14ac:dyDescent="0.25">
      <c r="A376">
        <v>310</v>
      </c>
      <c r="B376" t="s">
        <v>345</v>
      </c>
      <c r="C376" s="1">
        <v>45805</v>
      </c>
      <c r="D376" t="s">
        <v>679</v>
      </c>
      <c r="E376" t="e">
        <v>#N/A</v>
      </c>
      <c r="F376" t="s">
        <v>11</v>
      </c>
      <c r="G376" t="s">
        <v>680</v>
      </c>
      <c r="H376" t="s">
        <v>29</v>
      </c>
      <c r="I376" t="s">
        <v>681</v>
      </c>
      <c r="J376" s="2">
        <v>-94.83</v>
      </c>
      <c r="K376" s="6" t="str">
        <f>I376&amp;J376</f>
        <v>EA37L7F0T0000-SI499300X103335-2025-02-06-94.83</v>
      </c>
      <c r="L376" s="4" t="str">
        <f>IF(COUNTIF(D:D,D376)&gt;1,"D","N")</f>
        <v>D</v>
      </c>
      <c r="M376" s="4">
        <f>COUNTIFS(D:D,D376,F:F,"UPDATED")</f>
        <v>0</v>
      </c>
      <c r="N376" s="4">
        <f>COUNTIFS(D:D,D376,F:F,"NOT UPDATED")</f>
        <v>2</v>
      </c>
      <c r="O376" s="4">
        <f>COUNTIF(D:D,D376)</f>
        <v>2</v>
      </c>
    </row>
    <row r="377" spans="1:15" x14ac:dyDescent="0.25">
      <c r="A377">
        <v>353</v>
      </c>
      <c r="B377" t="s">
        <v>27</v>
      </c>
      <c r="C377" s="1">
        <v>45805</v>
      </c>
      <c r="D377">
        <v>825142000129697</v>
      </c>
      <c r="E377" t="e">
        <v>#N/A</v>
      </c>
      <c r="F377" t="s">
        <v>11</v>
      </c>
      <c r="G377" s="2">
        <v>9458.0300000000007</v>
      </c>
      <c r="H377" t="s">
        <v>29</v>
      </c>
      <c r="I377" t="s">
        <v>681</v>
      </c>
      <c r="J377" s="2">
        <v>-94.83</v>
      </c>
      <c r="K377" s="6" t="str">
        <f>I377&amp;J377</f>
        <v>EA37L7F0T0000-SI499300X103335-2025-02-06-94.83</v>
      </c>
      <c r="L377" s="4" t="str">
        <f>IF(COUNTIF(D:D,D377)&gt;1,"D","N")</f>
        <v>D</v>
      </c>
      <c r="M377" s="4">
        <f>COUNTIFS(D:D,D377,F:F,"UPDATED")</f>
        <v>0</v>
      </c>
      <c r="N377" s="4">
        <f>COUNTIFS(D:D,D377,F:F,"NOT UPDATED")</f>
        <v>2</v>
      </c>
      <c r="O377" s="4">
        <f>COUNTIF(D:D,D377)</f>
        <v>2</v>
      </c>
    </row>
    <row r="378" spans="1:15" x14ac:dyDescent="0.25">
      <c r="A378">
        <v>329</v>
      </c>
      <c r="B378" t="s">
        <v>345</v>
      </c>
      <c r="C378" s="1">
        <v>45800</v>
      </c>
      <c r="D378" t="s">
        <v>708</v>
      </c>
      <c r="E378" t="e">
        <v>#N/A</v>
      </c>
      <c r="F378" t="s">
        <v>11</v>
      </c>
      <c r="G378" t="s">
        <v>709</v>
      </c>
      <c r="H378" t="s">
        <v>15</v>
      </c>
      <c r="I378" t="s">
        <v>710</v>
      </c>
      <c r="J378" s="2">
        <v>211.57</v>
      </c>
      <c r="K378" s="6" t="str">
        <f>I378&amp;J378</f>
        <v>EFPDK7JPB0000-SI469627X23205-2025-01-13211.57</v>
      </c>
      <c r="L378" s="4" t="str">
        <f>IF(COUNTIF(D:D,D378)&gt;1,"D","N")</f>
        <v>N</v>
      </c>
      <c r="M378" s="4">
        <f>COUNTIFS(D:D,D378,F:F,"UPDATED")</f>
        <v>0</v>
      </c>
      <c r="N378" s="4">
        <f>COUNTIFS(D:D,D378,F:F,"NOT UPDATED")</f>
        <v>1</v>
      </c>
      <c r="O378" s="4">
        <f>COUNTIF(D:D,D378)</f>
        <v>1</v>
      </c>
    </row>
    <row r="379" spans="1:15" x14ac:dyDescent="0.25">
      <c r="A379">
        <v>365</v>
      </c>
      <c r="B379" t="s">
        <v>27</v>
      </c>
      <c r="C379" s="1">
        <v>45800</v>
      </c>
      <c r="D379">
        <v>882513901002162</v>
      </c>
      <c r="E379">
        <v>882513901002162</v>
      </c>
      <c r="F379" t="s">
        <v>339</v>
      </c>
      <c r="G379" s="2">
        <v>3361.75</v>
      </c>
      <c r="H379" t="s">
        <v>15</v>
      </c>
      <c r="I379" t="s">
        <v>710</v>
      </c>
      <c r="J379" s="2">
        <v>211.57</v>
      </c>
      <c r="K379" s="6" t="str">
        <f>I379&amp;J379</f>
        <v>EFPDK7JPB0000-SI469627X23205-2025-01-13211.57</v>
      </c>
      <c r="L379" s="4" t="str">
        <f>IF(COUNTIF(D:D,D379)&gt;1,"D","N")</f>
        <v>N</v>
      </c>
      <c r="M379" s="4">
        <f>COUNTIFS(D:D,D379,F:F,"UPDATED")</f>
        <v>1</v>
      </c>
      <c r="N379" s="4">
        <f>COUNTIFS(D:D,D379,F:F,"NOT UPDATED")</f>
        <v>0</v>
      </c>
      <c r="O379" s="4">
        <f>COUNTIF(D:D,D379)</f>
        <v>1</v>
      </c>
    </row>
    <row r="380" spans="1:15" hidden="1" x14ac:dyDescent="0.25">
      <c r="A380">
        <v>379</v>
      </c>
      <c r="B380" t="s">
        <v>94</v>
      </c>
      <c r="C380" s="1">
        <v>45798</v>
      </c>
      <c r="D380" t="s">
        <v>748</v>
      </c>
      <c r="E380" t="e">
        <v>#N/A</v>
      </c>
      <c r="F380" t="s">
        <v>11</v>
      </c>
      <c r="G380" s="2">
        <v>0</v>
      </c>
      <c r="H380" t="s">
        <v>29</v>
      </c>
      <c r="I380" t="s">
        <v>749</v>
      </c>
      <c r="J380" s="2">
        <v>-154.63</v>
      </c>
      <c r="K380" s="6" t="str">
        <f t="shared" ref="K323:K386" si="0">I380&amp;J380</f>
        <v>020242755087Y380X00.SI407192X12474-154.63</v>
      </c>
      <c r="L380" s="4" t="str">
        <f t="shared" ref="L323:L386" si="1">IF(COUNTIF(D:D,D380)&gt;1,"D","N")</f>
        <v>D</v>
      </c>
      <c r="M380" s="4">
        <f t="shared" ref="M323:M386" si="2">COUNTIFS(D:D,D380,F:F,"UPDATED")</f>
        <v>0</v>
      </c>
      <c r="N380" s="4">
        <f t="shared" ref="N323:N386" si="3">COUNTIFS(D:D,D380,F:F,"NOT UPDATED")</f>
        <v>5</v>
      </c>
      <c r="O380" s="4">
        <f t="shared" ref="O323:O386" si="4">COUNTIF(D:D,D380)</f>
        <v>5</v>
      </c>
    </row>
    <row r="381" spans="1:15" hidden="1" x14ac:dyDescent="0.25">
      <c r="A381">
        <v>380</v>
      </c>
      <c r="C381" s="1">
        <v>45798</v>
      </c>
      <c r="D381" t="s">
        <v>748</v>
      </c>
      <c r="E381" t="e">
        <v>#N/A</v>
      </c>
      <c r="F381" t="s">
        <v>11</v>
      </c>
      <c r="G381" s="2">
        <v>0</v>
      </c>
      <c r="H381" t="s">
        <v>29</v>
      </c>
      <c r="I381" t="s">
        <v>750</v>
      </c>
      <c r="J381" s="2">
        <v>-154.63</v>
      </c>
      <c r="K381" s="6" t="str">
        <f t="shared" si="0"/>
        <v>02024283503L9990X00.SI412251X41972-154.63</v>
      </c>
      <c r="L381" s="4" t="str">
        <f t="shared" si="1"/>
        <v>D</v>
      </c>
      <c r="M381" s="4">
        <f t="shared" si="2"/>
        <v>0</v>
      </c>
      <c r="N381" s="4">
        <f t="shared" si="3"/>
        <v>5</v>
      </c>
      <c r="O381" s="4">
        <f t="shared" si="4"/>
        <v>5</v>
      </c>
    </row>
    <row r="382" spans="1:15" hidden="1" x14ac:dyDescent="0.25">
      <c r="A382">
        <v>381</v>
      </c>
      <c r="C382" s="1">
        <v>45798</v>
      </c>
      <c r="D382" t="s">
        <v>748</v>
      </c>
      <c r="E382" t="e">
        <v>#N/A</v>
      </c>
      <c r="F382" t="s">
        <v>11</v>
      </c>
      <c r="G382" s="2">
        <v>0</v>
      </c>
      <c r="H382" t="s">
        <v>29</v>
      </c>
      <c r="I382" t="s">
        <v>751</v>
      </c>
      <c r="J382" s="2">
        <v>-73.37</v>
      </c>
      <c r="K382" s="6" t="str">
        <f t="shared" si="0"/>
        <v>0202428854685040X00.SI409769X92986-73.37</v>
      </c>
      <c r="L382" s="4" t="str">
        <f t="shared" si="1"/>
        <v>D</v>
      </c>
      <c r="M382" s="4">
        <f t="shared" si="2"/>
        <v>0</v>
      </c>
      <c r="N382" s="4">
        <f t="shared" si="3"/>
        <v>5</v>
      </c>
      <c r="O382" s="4">
        <f t="shared" si="4"/>
        <v>5</v>
      </c>
    </row>
    <row r="383" spans="1:15" hidden="1" x14ac:dyDescent="0.25">
      <c r="A383">
        <v>382</v>
      </c>
      <c r="C383" s="1">
        <v>45798</v>
      </c>
      <c r="D383" t="s">
        <v>748</v>
      </c>
      <c r="E383" t="e">
        <v>#N/A</v>
      </c>
      <c r="F383" t="s">
        <v>11</v>
      </c>
      <c r="G383" s="2">
        <v>0</v>
      </c>
      <c r="H383" t="s">
        <v>29</v>
      </c>
      <c r="I383" t="s">
        <v>752</v>
      </c>
      <c r="J383" s="2">
        <v>-20.149999999999999</v>
      </c>
      <c r="K383" s="6" t="str">
        <f t="shared" si="0"/>
        <v>8.02024316500L7820X00.SI431881X28128-20.15</v>
      </c>
      <c r="L383" s="4" t="str">
        <f t="shared" si="1"/>
        <v>D</v>
      </c>
      <c r="M383" s="4">
        <f t="shared" si="2"/>
        <v>0</v>
      </c>
      <c r="N383" s="4">
        <f t="shared" si="3"/>
        <v>5</v>
      </c>
      <c r="O383" s="4">
        <f t="shared" si="4"/>
        <v>5</v>
      </c>
    </row>
    <row r="384" spans="1:15" hidden="1" x14ac:dyDescent="0.25">
      <c r="A384">
        <v>383</v>
      </c>
      <c r="C384" s="1">
        <v>45798</v>
      </c>
      <c r="D384" t="s">
        <v>748</v>
      </c>
      <c r="E384" t="e">
        <v>#N/A</v>
      </c>
      <c r="F384" t="s">
        <v>11</v>
      </c>
      <c r="G384" s="2">
        <v>0</v>
      </c>
      <c r="H384" t="s">
        <v>29</v>
      </c>
      <c r="I384" t="s">
        <v>753</v>
      </c>
      <c r="J384" s="2">
        <v>-94.63</v>
      </c>
      <c r="K384" s="6" t="str">
        <f t="shared" si="0"/>
        <v>8.0202428854685040X00.SI409769X92986-94.63</v>
      </c>
      <c r="L384" s="4" t="str">
        <f t="shared" si="1"/>
        <v>D</v>
      </c>
      <c r="M384" s="4">
        <f t="shared" si="2"/>
        <v>0</v>
      </c>
      <c r="N384" s="4">
        <f t="shared" si="3"/>
        <v>5</v>
      </c>
      <c r="O384" s="4">
        <f t="shared" si="4"/>
        <v>5</v>
      </c>
    </row>
    <row r="385" spans="1:15" hidden="1" x14ac:dyDescent="0.25">
      <c r="A385">
        <v>384</v>
      </c>
      <c r="B385" t="s">
        <v>677</v>
      </c>
      <c r="C385" s="1">
        <v>45798</v>
      </c>
      <c r="D385">
        <v>1190721131</v>
      </c>
      <c r="E385" t="e">
        <v>#N/A</v>
      </c>
      <c r="F385" t="s">
        <v>11</v>
      </c>
      <c r="G385" s="2">
        <v>50.67</v>
      </c>
      <c r="H385" t="s">
        <v>678</v>
      </c>
      <c r="I385">
        <v>1190721131</v>
      </c>
      <c r="J385" s="2">
        <v>1.03</v>
      </c>
      <c r="K385" s="6" t="str">
        <f t="shared" si="0"/>
        <v>11907211311.03</v>
      </c>
      <c r="L385" s="4" t="str">
        <f t="shared" si="1"/>
        <v>N</v>
      </c>
      <c r="M385" s="4">
        <f t="shared" si="2"/>
        <v>0</v>
      </c>
      <c r="N385" s="4">
        <f t="shared" si="3"/>
        <v>1</v>
      </c>
      <c r="O385" s="4">
        <f t="shared" si="4"/>
        <v>1</v>
      </c>
    </row>
    <row r="386" spans="1:15" hidden="1" x14ac:dyDescent="0.25">
      <c r="A386">
        <v>385</v>
      </c>
      <c r="B386" t="s">
        <v>677</v>
      </c>
      <c r="C386" s="1">
        <v>45793</v>
      </c>
      <c r="D386">
        <v>1190061893</v>
      </c>
      <c r="E386" t="e">
        <v>#N/A</v>
      </c>
      <c r="F386" t="s">
        <v>11</v>
      </c>
      <c r="G386" s="2">
        <v>2.94</v>
      </c>
      <c r="H386" t="s">
        <v>678</v>
      </c>
      <c r="I386">
        <v>1190061893</v>
      </c>
      <c r="J386" s="2">
        <v>0.06</v>
      </c>
      <c r="K386" s="6" t="str">
        <f t="shared" si="0"/>
        <v>11900618930.06</v>
      </c>
      <c r="L386" s="4" t="str">
        <f t="shared" si="1"/>
        <v>N</v>
      </c>
      <c r="M386" s="4">
        <f t="shared" si="2"/>
        <v>0</v>
      </c>
      <c r="N386" s="4">
        <f t="shared" si="3"/>
        <v>1</v>
      </c>
      <c r="O386" s="4">
        <f t="shared" si="4"/>
        <v>1</v>
      </c>
    </row>
    <row r="387" spans="1:15" hidden="1" x14ac:dyDescent="0.25">
      <c r="A387">
        <v>386</v>
      </c>
      <c r="B387" t="s">
        <v>754</v>
      </c>
      <c r="C387" s="1">
        <v>45792</v>
      </c>
      <c r="D387">
        <v>1190170902</v>
      </c>
      <c r="E387" t="e">
        <v>#N/A</v>
      </c>
      <c r="F387" t="s">
        <v>11</v>
      </c>
      <c r="G387" s="2">
        <v>143.76</v>
      </c>
      <c r="H387" t="s">
        <v>678</v>
      </c>
      <c r="I387">
        <v>1190170902</v>
      </c>
      <c r="J387" s="2">
        <v>2.92</v>
      </c>
      <c r="K387" s="6" t="str">
        <f t="shared" ref="K387:K443" si="5">I387&amp;J387</f>
        <v>11901709022.92</v>
      </c>
      <c r="L387" s="4" t="str">
        <f t="shared" ref="L387:L443" si="6">IF(COUNTIF(D:D,D387)&gt;1,"D","N")</f>
        <v>N</v>
      </c>
      <c r="M387" s="4">
        <f t="shared" ref="M387:M443" si="7">COUNTIFS(D:D,D387,F:F,"UPDATED")</f>
        <v>0</v>
      </c>
      <c r="N387" s="4">
        <f t="shared" ref="N387:N443" si="8">COUNTIFS(D:D,D387,F:F,"NOT UPDATED")</f>
        <v>1</v>
      </c>
      <c r="O387" s="4">
        <f t="shared" ref="O387:O443" si="9">COUNTIF(D:D,D387)</f>
        <v>1</v>
      </c>
    </row>
    <row r="388" spans="1:15" hidden="1" x14ac:dyDescent="0.25">
      <c r="A388">
        <v>387</v>
      </c>
      <c r="B388" t="s">
        <v>755</v>
      </c>
      <c r="C388" s="1">
        <v>45792</v>
      </c>
      <c r="D388">
        <v>1189378789</v>
      </c>
      <c r="E388" t="e">
        <v>#N/A</v>
      </c>
      <c r="F388" t="s">
        <v>11</v>
      </c>
      <c r="G388" s="2">
        <v>21.74</v>
      </c>
      <c r="H388" t="s">
        <v>678</v>
      </c>
      <c r="I388">
        <v>1189378789</v>
      </c>
      <c r="K388" s="6" t="str">
        <f t="shared" si="5"/>
        <v>1189378789</v>
      </c>
      <c r="L388" s="4" t="str">
        <f t="shared" si="6"/>
        <v>N</v>
      </c>
      <c r="M388" s="4">
        <f t="shared" si="7"/>
        <v>0</v>
      </c>
      <c r="N388" s="4">
        <f t="shared" si="8"/>
        <v>1</v>
      </c>
      <c r="O388" s="4">
        <f t="shared" si="9"/>
        <v>1</v>
      </c>
    </row>
    <row r="389" spans="1:15" hidden="1" x14ac:dyDescent="0.25">
      <c r="A389">
        <v>388</v>
      </c>
      <c r="B389" t="s">
        <v>756</v>
      </c>
      <c r="C389" s="1">
        <v>45791</v>
      </c>
      <c r="D389">
        <v>1189100166</v>
      </c>
      <c r="E389" t="e">
        <v>#N/A</v>
      </c>
      <c r="F389" t="s">
        <v>11</v>
      </c>
      <c r="G389" s="2">
        <v>153.75</v>
      </c>
      <c r="H389" t="s">
        <v>678</v>
      </c>
      <c r="I389">
        <v>1189100166</v>
      </c>
      <c r="J389" s="2">
        <v>3.12</v>
      </c>
      <c r="K389" s="6" t="str">
        <f t="shared" si="5"/>
        <v>11891001663.12</v>
      </c>
      <c r="L389" s="4" t="str">
        <f t="shared" si="6"/>
        <v>N</v>
      </c>
      <c r="M389" s="4">
        <f t="shared" si="7"/>
        <v>0</v>
      </c>
      <c r="N389" s="4">
        <f t="shared" si="8"/>
        <v>1</v>
      </c>
      <c r="O389" s="4">
        <f t="shared" si="9"/>
        <v>1</v>
      </c>
    </row>
    <row r="390" spans="1:15" hidden="1" x14ac:dyDescent="0.25">
      <c r="A390">
        <v>389</v>
      </c>
      <c r="B390" t="s">
        <v>757</v>
      </c>
      <c r="C390" s="1">
        <v>45791</v>
      </c>
      <c r="D390">
        <v>1189100163</v>
      </c>
      <c r="E390" t="e">
        <v>#N/A</v>
      </c>
      <c r="F390" t="s">
        <v>11</v>
      </c>
      <c r="G390" s="2">
        <v>25.7</v>
      </c>
      <c r="H390" t="s">
        <v>678</v>
      </c>
      <c r="I390">
        <v>1189100163</v>
      </c>
      <c r="J390" s="2">
        <v>0.52</v>
      </c>
      <c r="K390" s="6" t="str">
        <f t="shared" si="5"/>
        <v>11891001630.52</v>
      </c>
      <c r="L390" s="4" t="str">
        <f t="shared" si="6"/>
        <v>N</v>
      </c>
      <c r="M390" s="4">
        <f t="shared" si="7"/>
        <v>0</v>
      </c>
      <c r="N390" s="4">
        <f t="shared" si="8"/>
        <v>1</v>
      </c>
      <c r="O390" s="4">
        <f t="shared" si="9"/>
        <v>1</v>
      </c>
    </row>
    <row r="391" spans="1:15" hidden="1" x14ac:dyDescent="0.25">
      <c r="A391">
        <v>390</v>
      </c>
      <c r="B391" t="s">
        <v>677</v>
      </c>
      <c r="C391" s="1">
        <v>45791</v>
      </c>
      <c r="D391">
        <v>1189478339</v>
      </c>
      <c r="E391" t="e">
        <v>#N/A</v>
      </c>
      <c r="F391" t="s">
        <v>11</v>
      </c>
      <c r="G391" s="2">
        <v>89.22</v>
      </c>
      <c r="H391" t="s">
        <v>758</v>
      </c>
      <c r="I391">
        <v>1189478339</v>
      </c>
      <c r="J391" s="2">
        <v>1.81</v>
      </c>
      <c r="K391" s="6" t="str">
        <f t="shared" si="5"/>
        <v>11894783391.81</v>
      </c>
      <c r="L391" s="4" t="str">
        <f t="shared" si="6"/>
        <v>N</v>
      </c>
      <c r="M391" s="4">
        <f t="shared" si="7"/>
        <v>0</v>
      </c>
      <c r="N391" s="4">
        <f t="shared" si="8"/>
        <v>1</v>
      </c>
      <c r="O391" s="4">
        <f t="shared" si="9"/>
        <v>1</v>
      </c>
    </row>
    <row r="392" spans="1:15" hidden="1" x14ac:dyDescent="0.25">
      <c r="A392">
        <v>391</v>
      </c>
      <c r="B392" t="s">
        <v>94</v>
      </c>
      <c r="C392" s="1">
        <v>45784</v>
      </c>
      <c r="D392" t="s">
        <v>759</v>
      </c>
      <c r="E392" t="e">
        <v>#N/A</v>
      </c>
      <c r="F392" t="s">
        <v>11</v>
      </c>
      <c r="G392" s="2">
        <v>0</v>
      </c>
      <c r="H392" t="s">
        <v>194</v>
      </c>
      <c r="I392" t="s">
        <v>760</v>
      </c>
      <c r="J392" s="2">
        <v>-12.44</v>
      </c>
      <c r="K392" s="6" t="str">
        <f t="shared" si="5"/>
        <v>02024249509V5970X01.SI390540X66726-12.44</v>
      </c>
      <c r="L392" s="4" t="str">
        <f t="shared" si="6"/>
        <v>D</v>
      </c>
      <c r="M392" s="4">
        <f t="shared" si="7"/>
        <v>0</v>
      </c>
      <c r="N392" s="4">
        <f t="shared" si="8"/>
        <v>40</v>
      </c>
      <c r="O392" s="4">
        <f t="shared" si="9"/>
        <v>40</v>
      </c>
    </row>
    <row r="393" spans="1:15" hidden="1" x14ac:dyDescent="0.25">
      <c r="A393">
        <v>392</v>
      </c>
      <c r="B393" t="s">
        <v>94</v>
      </c>
      <c r="C393" s="1">
        <v>45784</v>
      </c>
      <c r="D393" t="s">
        <v>759</v>
      </c>
      <c r="E393" t="e">
        <v>#N/A</v>
      </c>
      <c r="F393" t="s">
        <v>11</v>
      </c>
      <c r="G393" s="2">
        <v>0</v>
      </c>
      <c r="H393" t="s">
        <v>29</v>
      </c>
      <c r="I393" t="s">
        <v>761</v>
      </c>
      <c r="J393" s="2">
        <v>-142.36000000000001</v>
      </c>
      <c r="K393" s="6" t="str">
        <f t="shared" si="5"/>
        <v>020242925065Q410X00.SI417134X43017-142.36</v>
      </c>
      <c r="L393" s="4" t="str">
        <f t="shared" si="6"/>
        <v>D</v>
      </c>
      <c r="M393" s="4">
        <f t="shared" si="7"/>
        <v>0</v>
      </c>
      <c r="N393" s="4">
        <f t="shared" si="8"/>
        <v>40</v>
      </c>
      <c r="O393" s="4">
        <f t="shared" si="9"/>
        <v>40</v>
      </c>
    </row>
    <row r="394" spans="1:15" hidden="1" x14ac:dyDescent="0.25">
      <c r="A394">
        <v>393</v>
      </c>
      <c r="B394" t="s">
        <v>94</v>
      </c>
      <c r="C394" s="1">
        <v>45784</v>
      </c>
      <c r="D394" t="s">
        <v>759</v>
      </c>
      <c r="E394" t="e">
        <v>#N/A</v>
      </c>
      <c r="F394" t="s">
        <v>11</v>
      </c>
      <c r="G394" s="2">
        <v>0</v>
      </c>
      <c r="H394" t="s">
        <v>29</v>
      </c>
      <c r="I394" t="s">
        <v>762</v>
      </c>
      <c r="J394" s="2">
        <v>-109.06</v>
      </c>
      <c r="K394" s="6" t="str">
        <f t="shared" si="5"/>
        <v>02024256507L7280X00.SI392830X87052-109.06</v>
      </c>
      <c r="L394" s="4" t="str">
        <f t="shared" si="6"/>
        <v>D</v>
      </c>
      <c r="M394" s="4">
        <f t="shared" si="7"/>
        <v>0</v>
      </c>
      <c r="N394" s="4">
        <f t="shared" si="8"/>
        <v>40</v>
      </c>
      <c r="O394" s="4">
        <f t="shared" si="9"/>
        <v>40</v>
      </c>
    </row>
    <row r="395" spans="1:15" hidden="1" x14ac:dyDescent="0.25">
      <c r="A395">
        <v>394</v>
      </c>
      <c r="B395" t="s">
        <v>94</v>
      </c>
      <c r="C395" s="1">
        <v>45784</v>
      </c>
      <c r="D395" t="s">
        <v>759</v>
      </c>
      <c r="E395" t="e">
        <v>#N/A</v>
      </c>
      <c r="F395" t="s">
        <v>11</v>
      </c>
      <c r="G395" s="2">
        <v>0</v>
      </c>
      <c r="H395" t="s">
        <v>29</v>
      </c>
      <c r="I395" t="s">
        <v>763</v>
      </c>
      <c r="J395" s="2">
        <v>-75.150000000000006</v>
      </c>
      <c r="K395" s="6" t="str">
        <f t="shared" si="5"/>
        <v>8.02024309500U8040X00.SI427377X49120-75.15</v>
      </c>
      <c r="L395" s="4" t="str">
        <f t="shared" si="6"/>
        <v>D</v>
      </c>
      <c r="M395" s="4">
        <f t="shared" si="7"/>
        <v>0</v>
      </c>
      <c r="N395" s="4">
        <f t="shared" si="8"/>
        <v>40</v>
      </c>
      <c r="O395" s="4">
        <f t="shared" si="9"/>
        <v>40</v>
      </c>
    </row>
    <row r="396" spans="1:15" hidden="1" x14ac:dyDescent="0.25">
      <c r="A396">
        <v>395</v>
      </c>
      <c r="B396" t="s">
        <v>94</v>
      </c>
      <c r="C396" s="1">
        <v>45784</v>
      </c>
      <c r="D396" t="s">
        <v>759</v>
      </c>
      <c r="E396" t="e">
        <v>#N/A</v>
      </c>
      <c r="F396" t="s">
        <v>11</v>
      </c>
      <c r="G396" s="2">
        <v>0</v>
      </c>
      <c r="H396" t="s">
        <v>29</v>
      </c>
      <c r="I396" s="3" t="s">
        <v>764</v>
      </c>
      <c r="J396" s="2">
        <v>-141.77000000000001</v>
      </c>
      <c r="K396" s="6" t="str">
        <f t="shared" si="5"/>
        <v>8.02024313505E0520X00.SI430903X95186-141.77</v>
      </c>
      <c r="L396" s="4" t="str">
        <f t="shared" si="6"/>
        <v>D</v>
      </c>
      <c r="M396" s="4">
        <f t="shared" si="7"/>
        <v>0</v>
      </c>
      <c r="N396" s="4">
        <f t="shared" si="8"/>
        <v>40</v>
      </c>
      <c r="O396" s="4">
        <f t="shared" si="9"/>
        <v>40</v>
      </c>
    </row>
    <row r="397" spans="1:15" hidden="1" x14ac:dyDescent="0.25">
      <c r="A397">
        <v>396</v>
      </c>
      <c r="B397" t="s">
        <v>94</v>
      </c>
      <c r="C397" s="1">
        <v>45784</v>
      </c>
      <c r="D397" t="s">
        <v>759</v>
      </c>
      <c r="E397" t="e">
        <v>#N/A</v>
      </c>
      <c r="F397" t="s">
        <v>11</v>
      </c>
      <c r="G397" s="2">
        <v>0</v>
      </c>
      <c r="H397" t="s">
        <v>29</v>
      </c>
      <c r="I397" t="s">
        <v>765</v>
      </c>
      <c r="J397" s="2">
        <v>-134.06</v>
      </c>
      <c r="K397" s="6" t="str">
        <f t="shared" si="5"/>
        <v>8.0202431050T92150X00.SI427808X40956-134.06</v>
      </c>
      <c r="L397" s="4" t="str">
        <f t="shared" si="6"/>
        <v>D</v>
      </c>
      <c r="M397" s="4">
        <f t="shared" si="7"/>
        <v>0</v>
      </c>
      <c r="N397" s="4">
        <f t="shared" si="8"/>
        <v>40</v>
      </c>
      <c r="O397" s="4">
        <f t="shared" si="9"/>
        <v>40</v>
      </c>
    </row>
    <row r="398" spans="1:15" hidden="1" x14ac:dyDescent="0.25">
      <c r="A398">
        <v>397</v>
      </c>
      <c r="B398" t="s">
        <v>94</v>
      </c>
      <c r="C398" s="1">
        <v>45784</v>
      </c>
      <c r="D398" t="s">
        <v>759</v>
      </c>
      <c r="E398" t="e">
        <v>#N/A</v>
      </c>
      <c r="F398" t="s">
        <v>11</v>
      </c>
      <c r="G398" s="2">
        <v>0</v>
      </c>
      <c r="H398" t="s">
        <v>29</v>
      </c>
      <c r="I398" t="s">
        <v>766</v>
      </c>
      <c r="J398" s="2">
        <v>-15.85</v>
      </c>
      <c r="K398" s="6" t="str">
        <f t="shared" si="5"/>
        <v>8.0202431750K59570X00.SI432508X71863-15.85</v>
      </c>
      <c r="L398" s="4" t="str">
        <f t="shared" si="6"/>
        <v>D</v>
      </c>
      <c r="M398" s="4">
        <f t="shared" si="7"/>
        <v>0</v>
      </c>
      <c r="N398" s="4">
        <f t="shared" si="8"/>
        <v>40</v>
      </c>
      <c r="O398" s="4">
        <f t="shared" si="9"/>
        <v>40</v>
      </c>
    </row>
    <row r="399" spans="1:15" hidden="1" x14ac:dyDescent="0.25">
      <c r="A399">
        <v>398</v>
      </c>
      <c r="B399" t="s">
        <v>94</v>
      </c>
      <c r="C399" s="1">
        <v>45784</v>
      </c>
      <c r="D399" t="s">
        <v>759</v>
      </c>
      <c r="E399" t="e">
        <v>#N/A</v>
      </c>
      <c r="F399" t="s">
        <v>11</v>
      </c>
      <c r="G399" s="2">
        <v>0</v>
      </c>
      <c r="H399" t="s">
        <v>29</v>
      </c>
      <c r="I399" t="s">
        <v>767</v>
      </c>
      <c r="J399" s="2">
        <v>-85.95</v>
      </c>
      <c r="K399" s="6" t="str">
        <f t="shared" si="5"/>
        <v>8.0202431950H83300X00.SI433914X95378-85.95</v>
      </c>
      <c r="L399" s="4" t="str">
        <f t="shared" si="6"/>
        <v>D</v>
      </c>
      <c r="M399" s="4">
        <f t="shared" si="7"/>
        <v>0</v>
      </c>
      <c r="N399" s="4">
        <f t="shared" si="8"/>
        <v>40</v>
      </c>
      <c r="O399" s="4">
        <f t="shared" si="9"/>
        <v>40</v>
      </c>
    </row>
    <row r="400" spans="1:15" hidden="1" x14ac:dyDescent="0.25">
      <c r="A400">
        <v>399</v>
      </c>
      <c r="B400" t="s">
        <v>94</v>
      </c>
      <c r="C400" s="1">
        <v>45784</v>
      </c>
      <c r="D400" t="s">
        <v>759</v>
      </c>
      <c r="E400" t="e">
        <v>#N/A</v>
      </c>
      <c r="F400" t="s">
        <v>11</v>
      </c>
      <c r="G400" s="2">
        <v>0</v>
      </c>
      <c r="H400" t="s">
        <v>29</v>
      </c>
      <c r="I400" s="3" t="s">
        <v>768</v>
      </c>
      <c r="J400" s="2">
        <v>-161.04</v>
      </c>
      <c r="K400" s="6" t="str">
        <f t="shared" si="5"/>
        <v>8.02024313504E9460X01.SI430449X95485-161.04</v>
      </c>
      <c r="L400" s="4" t="str">
        <f t="shared" si="6"/>
        <v>D</v>
      </c>
      <c r="M400" s="4">
        <f t="shared" si="7"/>
        <v>0</v>
      </c>
      <c r="N400" s="4">
        <f t="shared" si="8"/>
        <v>40</v>
      </c>
      <c r="O400" s="4">
        <f t="shared" si="9"/>
        <v>40</v>
      </c>
    </row>
    <row r="401" spans="1:15" hidden="1" x14ac:dyDescent="0.25">
      <c r="A401">
        <v>400</v>
      </c>
      <c r="B401" t="s">
        <v>94</v>
      </c>
      <c r="C401" s="1">
        <v>45784</v>
      </c>
      <c r="D401" t="s">
        <v>759</v>
      </c>
      <c r="E401" t="e">
        <v>#N/A</v>
      </c>
      <c r="F401" t="s">
        <v>11</v>
      </c>
      <c r="G401" s="2">
        <v>0</v>
      </c>
      <c r="H401" t="s">
        <v>29</v>
      </c>
      <c r="I401" t="s">
        <v>769</v>
      </c>
      <c r="J401" s="2">
        <v>-134.06</v>
      </c>
      <c r="K401" s="6" t="str">
        <f t="shared" si="5"/>
        <v>8.02024309509T9380X00.SI427658X91461-134.06</v>
      </c>
      <c r="L401" s="4" t="str">
        <f t="shared" si="6"/>
        <v>D</v>
      </c>
      <c r="M401" s="4">
        <f t="shared" si="7"/>
        <v>0</v>
      </c>
      <c r="N401" s="4">
        <f t="shared" si="8"/>
        <v>40</v>
      </c>
      <c r="O401" s="4">
        <f t="shared" si="9"/>
        <v>40</v>
      </c>
    </row>
    <row r="402" spans="1:15" hidden="1" x14ac:dyDescent="0.25">
      <c r="A402">
        <v>401</v>
      </c>
      <c r="B402" t="s">
        <v>94</v>
      </c>
      <c r="C402" s="1">
        <v>45784</v>
      </c>
      <c r="D402" t="s">
        <v>759</v>
      </c>
      <c r="E402" t="e">
        <v>#N/A</v>
      </c>
      <c r="F402" t="s">
        <v>11</v>
      </c>
      <c r="G402" s="2">
        <v>0</v>
      </c>
      <c r="H402" t="s">
        <v>29</v>
      </c>
      <c r="I402" t="s">
        <v>770</v>
      </c>
      <c r="J402" s="2">
        <v>-58.82</v>
      </c>
      <c r="K402" s="6" t="str">
        <f t="shared" si="5"/>
        <v>8.0202431050U46830X00.SI428392X7091-58.82</v>
      </c>
      <c r="L402" s="4" t="str">
        <f t="shared" si="6"/>
        <v>D</v>
      </c>
      <c r="M402" s="4">
        <f t="shared" si="7"/>
        <v>0</v>
      </c>
      <c r="N402" s="4">
        <f t="shared" si="8"/>
        <v>40</v>
      </c>
      <c r="O402" s="4">
        <f t="shared" si="9"/>
        <v>40</v>
      </c>
    </row>
    <row r="403" spans="1:15" hidden="1" x14ac:dyDescent="0.25">
      <c r="A403">
        <v>402</v>
      </c>
      <c r="B403" t="s">
        <v>94</v>
      </c>
      <c r="C403" s="1">
        <v>45784</v>
      </c>
      <c r="D403" t="s">
        <v>759</v>
      </c>
      <c r="E403" t="e">
        <v>#N/A</v>
      </c>
      <c r="F403" t="s">
        <v>11</v>
      </c>
      <c r="G403" s="2">
        <v>0</v>
      </c>
      <c r="H403" t="s">
        <v>29</v>
      </c>
      <c r="I403" t="s">
        <v>771</v>
      </c>
      <c r="J403" s="2">
        <v>-56.16</v>
      </c>
      <c r="K403" s="6" t="str">
        <f t="shared" si="5"/>
        <v>8.02024032504Y9200X01.SI261011X24999-56.16</v>
      </c>
      <c r="L403" s="4" t="str">
        <f t="shared" si="6"/>
        <v>D</v>
      </c>
      <c r="M403" s="4">
        <f t="shared" si="7"/>
        <v>0</v>
      </c>
      <c r="N403" s="4">
        <f t="shared" si="8"/>
        <v>40</v>
      </c>
      <c r="O403" s="4">
        <f t="shared" si="9"/>
        <v>40</v>
      </c>
    </row>
    <row r="404" spans="1:15" hidden="1" x14ac:dyDescent="0.25">
      <c r="A404">
        <v>403</v>
      </c>
      <c r="B404" t="s">
        <v>94</v>
      </c>
      <c r="C404" s="1">
        <v>45784</v>
      </c>
      <c r="D404" t="s">
        <v>759</v>
      </c>
      <c r="E404" t="e">
        <v>#N/A</v>
      </c>
      <c r="F404" t="s">
        <v>11</v>
      </c>
      <c r="G404" s="2">
        <v>0</v>
      </c>
      <c r="H404" t="s">
        <v>29</v>
      </c>
      <c r="I404" t="s">
        <v>772</v>
      </c>
      <c r="J404" s="2">
        <v>-107.7</v>
      </c>
      <c r="K404" s="6" t="str">
        <f t="shared" si="5"/>
        <v>8.02024309508T0100X00.SI427404X79909-107.7</v>
      </c>
      <c r="L404" s="4" t="str">
        <f t="shared" si="6"/>
        <v>D</v>
      </c>
      <c r="M404" s="4">
        <f t="shared" si="7"/>
        <v>0</v>
      </c>
      <c r="N404" s="4">
        <f t="shared" si="8"/>
        <v>40</v>
      </c>
      <c r="O404" s="4">
        <f t="shared" si="9"/>
        <v>40</v>
      </c>
    </row>
    <row r="405" spans="1:15" hidden="1" x14ac:dyDescent="0.25">
      <c r="A405">
        <v>404</v>
      </c>
      <c r="B405" t="s">
        <v>94</v>
      </c>
      <c r="C405" s="1">
        <v>45784</v>
      </c>
      <c r="D405" t="s">
        <v>759</v>
      </c>
      <c r="E405" t="e">
        <v>#N/A</v>
      </c>
      <c r="F405" t="s">
        <v>11</v>
      </c>
      <c r="G405" s="2">
        <v>0</v>
      </c>
      <c r="H405" t="s">
        <v>29</v>
      </c>
      <c r="I405" t="s">
        <v>773</v>
      </c>
      <c r="J405" s="2">
        <v>-103.09</v>
      </c>
      <c r="K405" s="6" t="str">
        <f t="shared" si="5"/>
        <v>8.0202431750K60610X00.SI432544X16488-103.09</v>
      </c>
      <c r="L405" s="4" t="str">
        <f t="shared" si="6"/>
        <v>D</v>
      </c>
      <c r="M405" s="4">
        <f t="shared" si="7"/>
        <v>0</v>
      </c>
      <c r="N405" s="4">
        <f t="shared" si="8"/>
        <v>40</v>
      </c>
      <c r="O405" s="4">
        <f t="shared" si="9"/>
        <v>40</v>
      </c>
    </row>
    <row r="406" spans="1:15" hidden="1" x14ac:dyDescent="0.25">
      <c r="A406">
        <v>405</v>
      </c>
      <c r="B406" t="s">
        <v>94</v>
      </c>
      <c r="C406" s="1">
        <v>45784</v>
      </c>
      <c r="D406" t="s">
        <v>759</v>
      </c>
      <c r="E406" t="e">
        <v>#N/A</v>
      </c>
      <c r="F406" t="s">
        <v>11</v>
      </c>
      <c r="G406" s="2">
        <v>0</v>
      </c>
      <c r="H406" t="s">
        <v>29</v>
      </c>
      <c r="I406" t="s">
        <v>774</v>
      </c>
      <c r="J406" s="2">
        <v>-128.86000000000001</v>
      </c>
      <c r="K406" s="6" t="str">
        <f t="shared" si="5"/>
        <v>8.0202428850703V60X00.SI415010X86479-128.86</v>
      </c>
      <c r="L406" s="4" t="str">
        <f t="shared" si="6"/>
        <v>D</v>
      </c>
      <c r="M406" s="4">
        <f t="shared" si="7"/>
        <v>0</v>
      </c>
      <c r="N406" s="4">
        <f t="shared" si="8"/>
        <v>40</v>
      </c>
      <c r="O406" s="4">
        <f t="shared" si="9"/>
        <v>40</v>
      </c>
    </row>
    <row r="407" spans="1:15" hidden="1" x14ac:dyDescent="0.25">
      <c r="A407">
        <v>406</v>
      </c>
      <c r="B407" t="s">
        <v>94</v>
      </c>
      <c r="C407" s="1">
        <v>45784</v>
      </c>
      <c r="D407" t="s">
        <v>759</v>
      </c>
      <c r="E407" t="e">
        <v>#N/A</v>
      </c>
      <c r="F407" t="s">
        <v>11</v>
      </c>
      <c r="G407" s="2">
        <v>0</v>
      </c>
      <c r="H407" t="s">
        <v>29</v>
      </c>
      <c r="I407" t="s">
        <v>775</v>
      </c>
      <c r="J407" s="2">
        <v>-71.37</v>
      </c>
      <c r="K407" s="6" t="str">
        <f t="shared" si="5"/>
        <v>8.02024312501286N0X00.SI429252X39874-71.37</v>
      </c>
      <c r="L407" s="4" t="str">
        <f t="shared" si="6"/>
        <v>D</v>
      </c>
      <c r="M407" s="4">
        <f t="shared" si="7"/>
        <v>0</v>
      </c>
      <c r="N407" s="4">
        <f t="shared" si="8"/>
        <v>40</v>
      </c>
      <c r="O407" s="4">
        <f t="shared" si="9"/>
        <v>40</v>
      </c>
    </row>
    <row r="408" spans="1:15" hidden="1" x14ac:dyDescent="0.25">
      <c r="A408">
        <v>407</v>
      </c>
      <c r="B408" t="s">
        <v>94</v>
      </c>
      <c r="C408" s="1">
        <v>45784</v>
      </c>
      <c r="D408" t="s">
        <v>759</v>
      </c>
      <c r="E408" t="e">
        <v>#N/A</v>
      </c>
      <c r="F408" t="s">
        <v>11</v>
      </c>
      <c r="G408" s="2">
        <v>0</v>
      </c>
      <c r="H408" t="s">
        <v>29</v>
      </c>
      <c r="I408" t="s">
        <v>776</v>
      </c>
      <c r="J408" s="2">
        <v>-81.489999999999995</v>
      </c>
      <c r="K408" s="6" t="str">
        <f t="shared" si="5"/>
        <v>8.0202427054591960X00.SI393899X91445-81.49</v>
      </c>
      <c r="L408" s="4" t="str">
        <f t="shared" si="6"/>
        <v>D</v>
      </c>
      <c r="M408" s="4">
        <f t="shared" si="7"/>
        <v>0</v>
      </c>
      <c r="N408" s="4">
        <f t="shared" si="8"/>
        <v>40</v>
      </c>
      <c r="O408" s="4">
        <f t="shared" si="9"/>
        <v>40</v>
      </c>
    </row>
    <row r="409" spans="1:15" hidden="1" x14ac:dyDescent="0.25">
      <c r="A409">
        <v>408</v>
      </c>
      <c r="B409" t="s">
        <v>94</v>
      </c>
      <c r="C409" s="1">
        <v>45784</v>
      </c>
      <c r="D409" t="s">
        <v>759</v>
      </c>
      <c r="E409" t="e">
        <v>#N/A</v>
      </c>
      <c r="F409" t="s">
        <v>11</v>
      </c>
      <c r="G409" s="2">
        <v>0</v>
      </c>
      <c r="H409" t="s">
        <v>29</v>
      </c>
      <c r="I409" t="s">
        <v>777</v>
      </c>
      <c r="J409" s="2">
        <v>-81.489999999999995</v>
      </c>
      <c r="K409" s="6" t="str">
        <f t="shared" si="5"/>
        <v>8.0202427054592000X00.SI396994X91445-81.49</v>
      </c>
      <c r="L409" s="4" t="str">
        <f t="shared" si="6"/>
        <v>D</v>
      </c>
      <c r="M409" s="4">
        <f t="shared" si="7"/>
        <v>0</v>
      </c>
      <c r="N409" s="4">
        <f t="shared" si="8"/>
        <v>40</v>
      </c>
      <c r="O409" s="4">
        <f t="shared" si="9"/>
        <v>40</v>
      </c>
    </row>
    <row r="410" spans="1:15" hidden="1" x14ac:dyDescent="0.25">
      <c r="A410">
        <v>409</v>
      </c>
      <c r="B410" t="s">
        <v>94</v>
      </c>
      <c r="C410" s="1">
        <v>45784</v>
      </c>
      <c r="D410" t="s">
        <v>759</v>
      </c>
      <c r="E410" t="e">
        <v>#N/A</v>
      </c>
      <c r="F410" t="s">
        <v>11</v>
      </c>
      <c r="G410" s="2">
        <v>0</v>
      </c>
      <c r="H410" t="s">
        <v>29</v>
      </c>
      <c r="I410" t="s">
        <v>778</v>
      </c>
      <c r="J410" s="2">
        <v>-81.489999999999995</v>
      </c>
      <c r="K410" s="6" t="str">
        <f t="shared" si="5"/>
        <v>8.0202427054592010X00.SI396993X91445-81.49</v>
      </c>
      <c r="L410" s="4" t="str">
        <f t="shared" si="6"/>
        <v>D</v>
      </c>
      <c r="M410" s="4">
        <f t="shared" si="7"/>
        <v>0</v>
      </c>
      <c r="N410" s="4">
        <f t="shared" si="8"/>
        <v>40</v>
      </c>
      <c r="O410" s="4">
        <f t="shared" si="9"/>
        <v>40</v>
      </c>
    </row>
    <row r="411" spans="1:15" hidden="1" x14ac:dyDescent="0.25">
      <c r="A411">
        <v>410</v>
      </c>
      <c r="B411" t="s">
        <v>94</v>
      </c>
      <c r="C411" s="1">
        <v>45784</v>
      </c>
      <c r="D411" t="s">
        <v>759</v>
      </c>
      <c r="E411" t="e">
        <v>#N/A</v>
      </c>
      <c r="F411" t="s">
        <v>11</v>
      </c>
      <c r="G411" s="2">
        <v>0</v>
      </c>
      <c r="H411" t="s">
        <v>29</v>
      </c>
      <c r="I411" t="s">
        <v>779</v>
      </c>
      <c r="J411" s="2">
        <v>-81.489999999999995</v>
      </c>
      <c r="K411" s="6" t="str">
        <f t="shared" si="5"/>
        <v>8.0202427054593400X00.SI402174X91445-81.49</v>
      </c>
      <c r="L411" s="4" t="str">
        <f t="shared" si="6"/>
        <v>D</v>
      </c>
      <c r="M411" s="4">
        <f t="shared" si="7"/>
        <v>0</v>
      </c>
      <c r="N411" s="4">
        <f t="shared" si="8"/>
        <v>40</v>
      </c>
      <c r="O411" s="4">
        <f t="shared" si="9"/>
        <v>40</v>
      </c>
    </row>
    <row r="412" spans="1:15" hidden="1" x14ac:dyDescent="0.25">
      <c r="A412">
        <v>411</v>
      </c>
      <c r="B412" t="s">
        <v>94</v>
      </c>
      <c r="C412" s="1">
        <v>45784</v>
      </c>
      <c r="D412" t="s">
        <v>759</v>
      </c>
      <c r="E412" t="e">
        <v>#N/A</v>
      </c>
      <c r="F412" t="s">
        <v>11</v>
      </c>
      <c r="G412" s="2">
        <v>0</v>
      </c>
      <c r="H412" t="s">
        <v>29</v>
      </c>
      <c r="I412" t="s">
        <v>780</v>
      </c>
      <c r="J412" s="2">
        <v>-81.489999999999995</v>
      </c>
      <c r="K412" s="6" t="str">
        <f t="shared" si="5"/>
        <v>8.0202427054593410X00.SI402173X91445-81.49</v>
      </c>
      <c r="L412" s="4" t="str">
        <f t="shared" si="6"/>
        <v>D</v>
      </c>
      <c r="M412" s="4">
        <f t="shared" si="7"/>
        <v>0</v>
      </c>
      <c r="N412" s="4">
        <f t="shared" si="8"/>
        <v>40</v>
      </c>
      <c r="O412" s="4">
        <f t="shared" si="9"/>
        <v>40</v>
      </c>
    </row>
    <row r="413" spans="1:15" hidden="1" x14ac:dyDescent="0.25">
      <c r="A413">
        <v>412</v>
      </c>
      <c r="B413" t="s">
        <v>94</v>
      </c>
      <c r="C413" s="1">
        <v>45784</v>
      </c>
      <c r="D413" t="s">
        <v>759</v>
      </c>
      <c r="E413" t="e">
        <v>#N/A</v>
      </c>
      <c r="F413" t="s">
        <v>11</v>
      </c>
      <c r="G413" s="2">
        <v>0</v>
      </c>
      <c r="H413" t="s">
        <v>29</v>
      </c>
      <c r="I413" t="s">
        <v>781</v>
      </c>
      <c r="J413" s="2">
        <v>-83.89</v>
      </c>
      <c r="K413" s="6" t="str">
        <f t="shared" si="5"/>
        <v>8.0202427054593430X00.SI402272X91445-83.89</v>
      </c>
      <c r="L413" s="4" t="str">
        <f t="shared" si="6"/>
        <v>D</v>
      </c>
      <c r="M413" s="4">
        <f t="shared" si="7"/>
        <v>0</v>
      </c>
      <c r="N413" s="4">
        <f t="shared" si="8"/>
        <v>40</v>
      </c>
      <c r="O413" s="4">
        <f t="shared" si="9"/>
        <v>40</v>
      </c>
    </row>
    <row r="414" spans="1:15" hidden="1" x14ac:dyDescent="0.25">
      <c r="A414">
        <v>413</v>
      </c>
      <c r="B414" t="s">
        <v>94</v>
      </c>
      <c r="C414" s="1">
        <v>45784</v>
      </c>
      <c r="D414" t="s">
        <v>759</v>
      </c>
      <c r="E414" t="e">
        <v>#N/A</v>
      </c>
      <c r="F414" t="s">
        <v>11</v>
      </c>
      <c r="G414" s="2">
        <v>0</v>
      </c>
      <c r="H414" t="s">
        <v>29</v>
      </c>
      <c r="I414" t="s">
        <v>782</v>
      </c>
      <c r="J414" s="2">
        <v>-122.56</v>
      </c>
      <c r="K414" s="6" t="str">
        <f t="shared" si="5"/>
        <v>8.0202427054593950X00.SI393898X91445-122.56</v>
      </c>
      <c r="L414" s="4" t="str">
        <f t="shared" si="6"/>
        <v>D</v>
      </c>
      <c r="M414" s="4">
        <f t="shared" si="7"/>
        <v>0</v>
      </c>
      <c r="N414" s="4">
        <f t="shared" si="8"/>
        <v>40</v>
      </c>
      <c r="O414" s="4">
        <f t="shared" si="9"/>
        <v>40</v>
      </c>
    </row>
    <row r="415" spans="1:15" hidden="1" x14ac:dyDescent="0.25">
      <c r="A415">
        <v>414</v>
      </c>
      <c r="B415" t="s">
        <v>94</v>
      </c>
      <c r="C415" s="1">
        <v>45784</v>
      </c>
      <c r="D415" t="s">
        <v>759</v>
      </c>
      <c r="E415" t="e">
        <v>#N/A</v>
      </c>
      <c r="F415" t="s">
        <v>11</v>
      </c>
      <c r="G415" s="2">
        <v>0</v>
      </c>
      <c r="H415" t="s">
        <v>29</v>
      </c>
      <c r="I415" t="s">
        <v>783</v>
      </c>
      <c r="J415" s="2">
        <v>-178.93</v>
      </c>
      <c r="K415" s="6" t="str">
        <f t="shared" si="5"/>
        <v>8.0202427054593960X00.SI393897X91445-178.93</v>
      </c>
      <c r="L415" s="4" t="str">
        <f t="shared" si="6"/>
        <v>D</v>
      </c>
      <c r="M415" s="4">
        <f t="shared" si="7"/>
        <v>0</v>
      </c>
      <c r="N415" s="4">
        <f t="shared" si="8"/>
        <v>40</v>
      </c>
      <c r="O415" s="4">
        <f t="shared" si="9"/>
        <v>40</v>
      </c>
    </row>
    <row r="416" spans="1:15" hidden="1" x14ac:dyDescent="0.25">
      <c r="A416">
        <v>415</v>
      </c>
      <c r="B416" t="s">
        <v>94</v>
      </c>
      <c r="C416" s="1">
        <v>45784</v>
      </c>
      <c r="D416" t="s">
        <v>759</v>
      </c>
      <c r="E416" t="e">
        <v>#N/A</v>
      </c>
      <c r="F416" t="s">
        <v>11</v>
      </c>
      <c r="G416" s="2">
        <v>0</v>
      </c>
      <c r="H416" t="s">
        <v>29</v>
      </c>
      <c r="I416" t="s">
        <v>784</v>
      </c>
      <c r="J416" s="2">
        <v>-122.56</v>
      </c>
      <c r="K416" s="6" t="str">
        <f t="shared" si="5"/>
        <v>8.0202427054594020X00.SI396718X91445-122.56</v>
      </c>
      <c r="L416" s="4" t="str">
        <f t="shared" si="6"/>
        <v>D</v>
      </c>
      <c r="M416" s="4">
        <f t="shared" si="7"/>
        <v>0</v>
      </c>
      <c r="N416" s="4">
        <f t="shared" si="8"/>
        <v>40</v>
      </c>
      <c r="O416" s="4">
        <f t="shared" si="9"/>
        <v>40</v>
      </c>
    </row>
    <row r="417" spans="1:15" hidden="1" x14ac:dyDescent="0.25">
      <c r="A417">
        <v>416</v>
      </c>
      <c r="B417" t="s">
        <v>94</v>
      </c>
      <c r="C417" s="1">
        <v>45784</v>
      </c>
      <c r="D417" t="s">
        <v>759</v>
      </c>
      <c r="E417" t="e">
        <v>#N/A</v>
      </c>
      <c r="F417" t="s">
        <v>11</v>
      </c>
      <c r="G417" s="2">
        <v>0</v>
      </c>
      <c r="H417" t="s">
        <v>29</v>
      </c>
      <c r="I417" t="s">
        <v>785</v>
      </c>
      <c r="J417" s="2">
        <v>-113.39</v>
      </c>
      <c r="K417" s="6" t="str">
        <f t="shared" si="5"/>
        <v>8.020243125069Y350X00.SI429663X32215-113.39</v>
      </c>
      <c r="L417" s="4" t="str">
        <f t="shared" si="6"/>
        <v>D</v>
      </c>
      <c r="M417" s="4">
        <f t="shared" si="7"/>
        <v>0</v>
      </c>
      <c r="N417" s="4">
        <f t="shared" si="8"/>
        <v>40</v>
      </c>
      <c r="O417" s="4">
        <f t="shared" si="9"/>
        <v>40</v>
      </c>
    </row>
    <row r="418" spans="1:15" hidden="1" x14ac:dyDescent="0.25">
      <c r="A418">
        <v>417</v>
      </c>
      <c r="B418" t="s">
        <v>94</v>
      </c>
      <c r="C418" s="1">
        <v>45784</v>
      </c>
      <c r="D418" t="s">
        <v>759</v>
      </c>
      <c r="E418" t="e">
        <v>#N/A</v>
      </c>
      <c r="F418" t="s">
        <v>11</v>
      </c>
      <c r="G418" s="2">
        <v>0</v>
      </c>
      <c r="H418" t="s">
        <v>29</v>
      </c>
      <c r="I418" t="s">
        <v>786</v>
      </c>
      <c r="J418" s="2">
        <v>-12.81</v>
      </c>
      <c r="K418" s="6" t="str">
        <f t="shared" si="5"/>
        <v>8.0202431950K02560X00.SI433725X5964-12.81</v>
      </c>
      <c r="L418" s="4" t="str">
        <f t="shared" si="6"/>
        <v>D</v>
      </c>
      <c r="M418" s="4">
        <f t="shared" si="7"/>
        <v>0</v>
      </c>
      <c r="N418" s="4">
        <f t="shared" si="8"/>
        <v>40</v>
      </c>
      <c r="O418" s="4">
        <f t="shared" si="9"/>
        <v>40</v>
      </c>
    </row>
    <row r="419" spans="1:15" hidden="1" x14ac:dyDescent="0.25">
      <c r="A419">
        <v>418</v>
      </c>
      <c r="B419" t="s">
        <v>94</v>
      </c>
      <c r="C419" s="1">
        <v>45784</v>
      </c>
      <c r="D419" t="s">
        <v>759</v>
      </c>
      <c r="E419" t="e">
        <v>#N/A</v>
      </c>
      <c r="F419" t="s">
        <v>11</v>
      </c>
      <c r="G419" s="2">
        <v>0</v>
      </c>
      <c r="H419" t="s">
        <v>29</v>
      </c>
      <c r="I419" t="s">
        <v>787</v>
      </c>
      <c r="J419" s="2">
        <v>-102.93</v>
      </c>
      <c r="K419" s="6" t="str">
        <f t="shared" si="5"/>
        <v>8.02024318508289A0X00.SI433472X63274-102.93</v>
      </c>
      <c r="L419" s="4" t="str">
        <f t="shared" si="6"/>
        <v>D</v>
      </c>
      <c r="M419" s="4">
        <f t="shared" si="7"/>
        <v>0</v>
      </c>
      <c r="N419" s="4">
        <f t="shared" si="8"/>
        <v>40</v>
      </c>
      <c r="O419" s="4">
        <f t="shared" si="9"/>
        <v>40</v>
      </c>
    </row>
    <row r="420" spans="1:15" hidden="1" x14ac:dyDescent="0.25">
      <c r="A420">
        <v>419</v>
      </c>
      <c r="B420" t="s">
        <v>94</v>
      </c>
      <c r="C420" s="1">
        <v>45784</v>
      </c>
      <c r="D420" t="s">
        <v>759</v>
      </c>
      <c r="E420" t="e">
        <v>#N/A</v>
      </c>
      <c r="F420" t="s">
        <v>11</v>
      </c>
      <c r="G420" s="2">
        <v>0</v>
      </c>
      <c r="H420" t="s">
        <v>29</v>
      </c>
      <c r="I420" t="s">
        <v>788</v>
      </c>
      <c r="J420" s="2">
        <v>-66.61</v>
      </c>
      <c r="K420" s="6" t="str">
        <f t="shared" si="5"/>
        <v>8.02024318507987A0X00.SI433309X14113-66.61</v>
      </c>
      <c r="L420" s="4" t="str">
        <f t="shared" si="6"/>
        <v>D</v>
      </c>
      <c r="M420" s="4">
        <f t="shared" si="7"/>
        <v>0</v>
      </c>
      <c r="N420" s="4">
        <f t="shared" si="8"/>
        <v>40</v>
      </c>
      <c r="O420" s="4">
        <f t="shared" si="9"/>
        <v>40</v>
      </c>
    </row>
    <row r="421" spans="1:15" hidden="1" x14ac:dyDescent="0.25">
      <c r="A421">
        <v>420</v>
      </c>
      <c r="B421" t="s">
        <v>94</v>
      </c>
      <c r="C421" s="1">
        <v>45784</v>
      </c>
      <c r="D421" t="s">
        <v>759</v>
      </c>
      <c r="E421" t="e">
        <v>#N/A</v>
      </c>
      <c r="F421" t="s">
        <v>11</v>
      </c>
      <c r="G421" s="2">
        <v>0</v>
      </c>
      <c r="H421" t="s">
        <v>29</v>
      </c>
      <c r="I421" t="s">
        <v>789</v>
      </c>
      <c r="J421" s="2">
        <v>-80.44</v>
      </c>
      <c r="K421" s="6" t="str">
        <f t="shared" si="5"/>
        <v>8.02024316509J6530X00.SI431529X59355-80.44</v>
      </c>
      <c r="L421" s="4" t="str">
        <f t="shared" si="6"/>
        <v>D</v>
      </c>
      <c r="M421" s="4">
        <f t="shared" si="7"/>
        <v>0</v>
      </c>
      <c r="N421" s="4">
        <f t="shared" si="8"/>
        <v>40</v>
      </c>
      <c r="O421" s="4">
        <f t="shared" si="9"/>
        <v>40</v>
      </c>
    </row>
    <row r="422" spans="1:15" hidden="1" x14ac:dyDescent="0.25">
      <c r="A422">
        <v>421</v>
      </c>
      <c r="B422" t="s">
        <v>94</v>
      </c>
      <c r="C422" s="1">
        <v>45784</v>
      </c>
      <c r="D422" t="s">
        <v>759</v>
      </c>
      <c r="E422" t="e">
        <v>#N/A</v>
      </c>
      <c r="F422" t="s">
        <v>11</v>
      </c>
      <c r="G422" s="2">
        <v>0</v>
      </c>
      <c r="H422" t="s">
        <v>29</v>
      </c>
      <c r="I422" t="s">
        <v>790</v>
      </c>
      <c r="J422" s="2">
        <v>-103.09</v>
      </c>
      <c r="K422" s="6" t="str">
        <f t="shared" si="5"/>
        <v>8.02024309509T0290X00.SI427022X25956-103.09</v>
      </c>
      <c r="L422" s="4" t="str">
        <f t="shared" si="6"/>
        <v>D</v>
      </c>
      <c r="M422" s="4">
        <f t="shared" si="7"/>
        <v>0</v>
      </c>
      <c r="N422" s="4">
        <f t="shared" si="8"/>
        <v>40</v>
      </c>
      <c r="O422" s="4">
        <f t="shared" si="9"/>
        <v>40</v>
      </c>
    </row>
    <row r="423" spans="1:15" hidden="1" x14ac:dyDescent="0.25">
      <c r="A423">
        <v>422</v>
      </c>
      <c r="B423" t="s">
        <v>94</v>
      </c>
      <c r="C423" s="1">
        <v>45784</v>
      </c>
      <c r="D423" t="s">
        <v>759</v>
      </c>
      <c r="E423" t="e">
        <v>#N/A</v>
      </c>
      <c r="F423" t="s">
        <v>11</v>
      </c>
      <c r="G423" s="2">
        <v>0</v>
      </c>
      <c r="H423" t="s">
        <v>29</v>
      </c>
      <c r="I423" t="s">
        <v>791</v>
      </c>
      <c r="J423" s="2">
        <v>-110.16</v>
      </c>
      <c r="K423" s="6" t="str">
        <f t="shared" si="5"/>
        <v>8.02024309500U2210X00.SI427695X94622-110.16</v>
      </c>
      <c r="L423" s="4" t="str">
        <f t="shared" si="6"/>
        <v>D</v>
      </c>
      <c r="M423" s="4">
        <f t="shared" si="7"/>
        <v>0</v>
      </c>
      <c r="N423" s="4">
        <f t="shared" si="8"/>
        <v>40</v>
      </c>
      <c r="O423" s="4">
        <f t="shared" si="9"/>
        <v>40</v>
      </c>
    </row>
    <row r="424" spans="1:15" hidden="1" x14ac:dyDescent="0.25">
      <c r="A424">
        <v>423</v>
      </c>
      <c r="B424" t="s">
        <v>94</v>
      </c>
      <c r="C424" s="1">
        <v>45784</v>
      </c>
      <c r="D424" t="s">
        <v>759</v>
      </c>
      <c r="E424" t="e">
        <v>#N/A</v>
      </c>
      <c r="F424" t="s">
        <v>11</v>
      </c>
      <c r="G424" s="2">
        <v>0</v>
      </c>
      <c r="H424" t="s">
        <v>29</v>
      </c>
      <c r="I424" t="s">
        <v>792</v>
      </c>
      <c r="J424" s="2">
        <v>-95.15</v>
      </c>
      <c r="K424" s="6" t="str">
        <f t="shared" si="5"/>
        <v>8.02024316504K4260X00.SI431710X72959-95.15</v>
      </c>
      <c r="L424" s="4" t="str">
        <f t="shared" si="6"/>
        <v>D</v>
      </c>
      <c r="M424" s="4">
        <f t="shared" si="7"/>
        <v>0</v>
      </c>
      <c r="N424" s="4">
        <f t="shared" si="8"/>
        <v>40</v>
      </c>
      <c r="O424" s="4">
        <f t="shared" si="9"/>
        <v>40</v>
      </c>
    </row>
    <row r="425" spans="1:15" hidden="1" x14ac:dyDescent="0.25">
      <c r="A425">
        <v>424</v>
      </c>
      <c r="B425" t="s">
        <v>94</v>
      </c>
      <c r="C425" s="1">
        <v>45784</v>
      </c>
      <c r="D425" t="s">
        <v>759</v>
      </c>
      <c r="E425" t="e">
        <v>#N/A</v>
      </c>
      <c r="F425" t="s">
        <v>11</v>
      </c>
      <c r="G425" s="2">
        <v>0</v>
      </c>
      <c r="H425" t="s">
        <v>29</v>
      </c>
      <c r="I425" t="s">
        <v>793</v>
      </c>
      <c r="J425" s="2">
        <v>-31.84</v>
      </c>
      <c r="K425" s="6" t="str">
        <f t="shared" si="5"/>
        <v>8.020243305030B510X00.SI430057X75193-31.84</v>
      </c>
      <c r="L425" s="4" t="str">
        <f t="shared" si="6"/>
        <v>D</v>
      </c>
      <c r="M425" s="4">
        <f t="shared" si="7"/>
        <v>0</v>
      </c>
      <c r="N425" s="4">
        <f t="shared" si="8"/>
        <v>40</v>
      </c>
      <c r="O425" s="4">
        <f t="shared" si="9"/>
        <v>40</v>
      </c>
    </row>
    <row r="426" spans="1:15" hidden="1" x14ac:dyDescent="0.25">
      <c r="A426">
        <v>425</v>
      </c>
      <c r="B426" t="s">
        <v>94</v>
      </c>
      <c r="C426" s="1">
        <v>45784</v>
      </c>
      <c r="D426" t="s">
        <v>759</v>
      </c>
      <c r="E426" t="e">
        <v>#N/A</v>
      </c>
      <c r="F426" t="s">
        <v>11</v>
      </c>
      <c r="G426" s="2">
        <v>0</v>
      </c>
      <c r="H426" t="s">
        <v>29</v>
      </c>
      <c r="I426" t="s">
        <v>794</v>
      </c>
      <c r="J426" s="2">
        <v>-107.25</v>
      </c>
      <c r="K426" s="6" t="str">
        <f t="shared" si="5"/>
        <v>8.02024312501919N0X00.SI428749X25588-107.25</v>
      </c>
      <c r="L426" s="4" t="str">
        <f t="shared" si="6"/>
        <v>D</v>
      </c>
      <c r="M426" s="4">
        <f t="shared" si="7"/>
        <v>0</v>
      </c>
      <c r="N426" s="4">
        <f t="shared" si="8"/>
        <v>40</v>
      </c>
      <c r="O426" s="4">
        <f t="shared" si="9"/>
        <v>40</v>
      </c>
    </row>
    <row r="427" spans="1:15" hidden="1" x14ac:dyDescent="0.25">
      <c r="A427">
        <v>426</v>
      </c>
      <c r="B427" t="s">
        <v>94</v>
      </c>
      <c r="C427" s="1">
        <v>45784</v>
      </c>
      <c r="D427" t="s">
        <v>759</v>
      </c>
      <c r="E427" t="e">
        <v>#N/A</v>
      </c>
      <c r="F427" t="s">
        <v>11</v>
      </c>
      <c r="G427" s="2">
        <v>0</v>
      </c>
      <c r="H427" t="s">
        <v>29</v>
      </c>
      <c r="I427" t="s">
        <v>795</v>
      </c>
      <c r="J427" s="2">
        <v>-66.61</v>
      </c>
      <c r="K427" s="6" t="str">
        <f t="shared" si="5"/>
        <v>8.0202430650Y56050X00.SI426771X75278-66.61</v>
      </c>
      <c r="L427" s="4" t="str">
        <f t="shared" si="6"/>
        <v>D</v>
      </c>
      <c r="M427" s="4">
        <f t="shared" si="7"/>
        <v>0</v>
      </c>
      <c r="N427" s="4">
        <f t="shared" si="8"/>
        <v>40</v>
      </c>
      <c r="O427" s="4">
        <f t="shared" si="9"/>
        <v>40</v>
      </c>
    </row>
    <row r="428" spans="1:15" hidden="1" x14ac:dyDescent="0.25">
      <c r="A428">
        <v>427</v>
      </c>
      <c r="B428" t="s">
        <v>94</v>
      </c>
      <c r="C428" s="1">
        <v>45784</v>
      </c>
      <c r="D428" t="s">
        <v>759</v>
      </c>
      <c r="E428" t="e">
        <v>#N/A</v>
      </c>
      <c r="F428" t="s">
        <v>11</v>
      </c>
      <c r="G428" s="2">
        <v>0</v>
      </c>
      <c r="H428" t="s">
        <v>29</v>
      </c>
      <c r="I428" s="3" t="s">
        <v>796</v>
      </c>
      <c r="J428" s="2">
        <v>-80.44</v>
      </c>
      <c r="K428" s="6" t="str">
        <f t="shared" si="5"/>
        <v>8.02024313509E1270X00.SI430099X29037-80.44</v>
      </c>
      <c r="L428" s="4" t="str">
        <f t="shared" si="6"/>
        <v>D</v>
      </c>
      <c r="M428" s="4">
        <f t="shared" si="7"/>
        <v>0</v>
      </c>
      <c r="N428" s="4">
        <f t="shared" si="8"/>
        <v>40</v>
      </c>
      <c r="O428" s="4">
        <f t="shared" si="9"/>
        <v>40</v>
      </c>
    </row>
    <row r="429" spans="1:15" hidden="1" x14ac:dyDescent="0.25">
      <c r="A429">
        <v>428</v>
      </c>
      <c r="B429" t="s">
        <v>94</v>
      </c>
      <c r="C429" s="1">
        <v>45784</v>
      </c>
      <c r="D429" t="s">
        <v>759</v>
      </c>
      <c r="E429" t="e">
        <v>#N/A</v>
      </c>
      <c r="F429" t="s">
        <v>11</v>
      </c>
      <c r="G429" s="2">
        <v>0</v>
      </c>
      <c r="H429" t="s">
        <v>29</v>
      </c>
      <c r="I429" t="s">
        <v>797</v>
      </c>
      <c r="J429" s="2">
        <v>-76.12</v>
      </c>
      <c r="K429" s="6" t="str">
        <f t="shared" si="5"/>
        <v>8.0202431050T94230X00.SI428343X95015-76.12</v>
      </c>
      <c r="L429" s="4" t="str">
        <f t="shared" si="6"/>
        <v>D</v>
      </c>
      <c r="M429" s="4">
        <f t="shared" si="7"/>
        <v>0</v>
      </c>
      <c r="N429" s="4">
        <f t="shared" si="8"/>
        <v>40</v>
      </c>
      <c r="O429" s="4">
        <f t="shared" si="9"/>
        <v>40</v>
      </c>
    </row>
    <row r="430" spans="1:15" hidden="1" x14ac:dyDescent="0.25">
      <c r="A430">
        <v>429</v>
      </c>
      <c r="B430" t="s">
        <v>94</v>
      </c>
      <c r="C430" s="1">
        <v>45784</v>
      </c>
      <c r="D430" t="s">
        <v>759</v>
      </c>
      <c r="E430" t="e">
        <v>#N/A</v>
      </c>
      <c r="F430" t="s">
        <v>11</v>
      </c>
      <c r="G430" s="2">
        <v>0</v>
      </c>
      <c r="H430" t="s">
        <v>29</v>
      </c>
      <c r="I430" t="s">
        <v>798</v>
      </c>
      <c r="J430" s="2">
        <v>-107.25</v>
      </c>
      <c r="K430" s="6" t="str">
        <f t="shared" si="5"/>
        <v>8.02024318507739A0X00.SI433100X71536-107.25</v>
      </c>
      <c r="L430" s="4" t="str">
        <f t="shared" si="6"/>
        <v>D</v>
      </c>
      <c r="M430" s="4">
        <f t="shared" si="7"/>
        <v>0</v>
      </c>
      <c r="N430" s="4">
        <f t="shared" si="8"/>
        <v>40</v>
      </c>
      <c r="O430" s="4">
        <f t="shared" si="9"/>
        <v>40</v>
      </c>
    </row>
    <row r="431" spans="1:15" hidden="1" x14ac:dyDescent="0.25">
      <c r="A431">
        <v>430</v>
      </c>
      <c r="B431" t="s">
        <v>94</v>
      </c>
      <c r="C431" s="1">
        <v>45784</v>
      </c>
      <c r="D431" t="s">
        <v>759</v>
      </c>
      <c r="E431" t="e">
        <v>#N/A</v>
      </c>
      <c r="F431" t="s">
        <v>11</v>
      </c>
      <c r="G431" s="2">
        <v>0</v>
      </c>
      <c r="H431" t="s">
        <v>29</v>
      </c>
      <c r="I431" t="s">
        <v>799</v>
      </c>
      <c r="J431" s="2">
        <v>-80.44</v>
      </c>
      <c r="K431" s="6" t="str">
        <f t="shared" si="5"/>
        <v>8.02024318505134A0X00.SI433061X28479-80.44</v>
      </c>
      <c r="L431" s="4" t="str">
        <f t="shared" si="6"/>
        <v>D</v>
      </c>
      <c r="M431" s="4">
        <f t="shared" si="7"/>
        <v>0</v>
      </c>
      <c r="N431" s="4">
        <f t="shared" si="8"/>
        <v>40</v>
      </c>
      <c r="O431" s="4">
        <f t="shared" si="9"/>
        <v>40</v>
      </c>
    </row>
    <row r="432" spans="1:15" hidden="1" x14ac:dyDescent="0.25">
      <c r="A432">
        <v>431</v>
      </c>
      <c r="B432" t="s">
        <v>800</v>
      </c>
      <c r="C432" s="1">
        <v>45784</v>
      </c>
      <c r="D432">
        <v>1188375926</v>
      </c>
      <c r="E432" t="e">
        <v>#N/A</v>
      </c>
      <c r="F432" t="s">
        <v>11</v>
      </c>
      <c r="G432" s="2">
        <v>66.599999999999994</v>
      </c>
      <c r="H432" t="s">
        <v>678</v>
      </c>
      <c r="I432">
        <v>1188375926</v>
      </c>
      <c r="J432" s="2">
        <v>1.35</v>
      </c>
      <c r="K432" s="6" t="str">
        <f t="shared" si="5"/>
        <v>11883759261.35</v>
      </c>
      <c r="L432" s="4" t="str">
        <f t="shared" si="6"/>
        <v>N</v>
      </c>
      <c r="M432" s="4">
        <f t="shared" si="7"/>
        <v>0</v>
      </c>
      <c r="N432" s="4">
        <f t="shared" si="8"/>
        <v>1</v>
      </c>
      <c r="O432" s="4">
        <f t="shared" si="9"/>
        <v>1</v>
      </c>
    </row>
    <row r="433" spans="1:15" hidden="1" x14ac:dyDescent="0.25">
      <c r="A433">
        <v>432</v>
      </c>
      <c r="B433" t="s">
        <v>756</v>
      </c>
      <c r="C433" s="1">
        <v>45784</v>
      </c>
      <c r="D433">
        <v>1188025274</v>
      </c>
      <c r="E433" t="e">
        <v>#N/A</v>
      </c>
      <c r="F433" t="s">
        <v>11</v>
      </c>
      <c r="G433" s="2">
        <v>129.25</v>
      </c>
      <c r="H433" t="s">
        <v>678</v>
      </c>
      <c r="I433">
        <v>1188025274</v>
      </c>
      <c r="J433" s="2">
        <v>2.62</v>
      </c>
      <c r="K433" s="6" t="str">
        <f t="shared" si="5"/>
        <v>11880252742.62</v>
      </c>
      <c r="L433" s="4" t="str">
        <f t="shared" si="6"/>
        <v>N</v>
      </c>
      <c r="M433" s="4">
        <f t="shared" si="7"/>
        <v>0</v>
      </c>
      <c r="N433" s="4">
        <f t="shared" si="8"/>
        <v>1</v>
      </c>
      <c r="O433" s="4">
        <f t="shared" si="9"/>
        <v>1</v>
      </c>
    </row>
    <row r="434" spans="1:15" hidden="1" x14ac:dyDescent="0.25">
      <c r="A434">
        <v>433</v>
      </c>
      <c r="B434" t="s">
        <v>801</v>
      </c>
      <c r="C434" s="1">
        <v>45782</v>
      </c>
      <c r="D434">
        <v>1187607454</v>
      </c>
      <c r="E434" t="e">
        <v>#N/A</v>
      </c>
      <c r="F434" t="s">
        <v>11</v>
      </c>
      <c r="G434" s="2">
        <v>25.7</v>
      </c>
      <c r="H434" t="s">
        <v>678</v>
      </c>
      <c r="I434">
        <v>1187607454</v>
      </c>
      <c r="J434" s="2">
        <v>0.52</v>
      </c>
      <c r="K434" s="6" t="str">
        <f t="shared" si="5"/>
        <v>11876074540.52</v>
      </c>
      <c r="L434" s="4" t="str">
        <f t="shared" si="6"/>
        <v>N</v>
      </c>
      <c r="M434" s="4">
        <f t="shared" si="7"/>
        <v>0</v>
      </c>
      <c r="N434" s="4">
        <f t="shared" si="8"/>
        <v>1</v>
      </c>
      <c r="O434" s="4">
        <f t="shared" si="9"/>
        <v>1</v>
      </c>
    </row>
    <row r="435" spans="1:15" hidden="1" x14ac:dyDescent="0.25">
      <c r="A435">
        <v>434</v>
      </c>
      <c r="B435" t="s">
        <v>677</v>
      </c>
      <c r="C435" s="1">
        <v>45779</v>
      </c>
      <c r="D435">
        <v>1187739129</v>
      </c>
      <c r="E435" t="e">
        <v>#N/A</v>
      </c>
      <c r="F435" t="s">
        <v>11</v>
      </c>
      <c r="G435" s="2">
        <v>25.7</v>
      </c>
      <c r="H435" t="s">
        <v>678</v>
      </c>
      <c r="I435">
        <v>1187739129</v>
      </c>
      <c r="J435" s="2">
        <v>0.52</v>
      </c>
      <c r="K435" s="6" t="str">
        <f t="shared" si="5"/>
        <v>11877391290.52</v>
      </c>
      <c r="L435" s="4" t="str">
        <f t="shared" si="6"/>
        <v>N</v>
      </c>
      <c r="M435" s="4">
        <f t="shared" si="7"/>
        <v>0</v>
      </c>
      <c r="N435" s="4">
        <f t="shared" si="8"/>
        <v>1</v>
      </c>
      <c r="O435" s="4">
        <f t="shared" si="9"/>
        <v>1</v>
      </c>
    </row>
    <row r="436" spans="1:15" hidden="1" x14ac:dyDescent="0.25">
      <c r="B436" t="s">
        <v>94</v>
      </c>
      <c r="C436" s="1">
        <v>45778</v>
      </c>
      <c r="D436" t="s">
        <v>802</v>
      </c>
      <c r="E436" t="e">
        <v>#N/A</v>
      </c>
      <c r="F436" t="s">
        <v>11</v>
      </c>
      <c r="G436" s="2">
        <v>0</v>
      </c>
      <c r="H436" t="s">
        <v>194</v>
      </c>
      <c r="I436" t="s">
        <v>803</v>
      </c>
      <c r="J436" s="2">
        <v>-25.97</v>
      </c>
      <c r="K436" s="6" t="str">
        <f t="shared" si="5"/>
        <v>02024274507707U0X00.SI405480X6072-25.97</v>
      </c>
      <c r="L436" s="4" t="str">
        <f t="shared" si="6"/>
        <v>D</v>
      </c>
      <c r="M436" s="4">
        <f t="shared" si="7"/>
        <v>0</v>
      </c>
      <c r="N436" s="4">
        <f t="shared" si="8"/>
        <v>6</v>
      </c>
      <c r="O436" s="4">
        <f t="shared" si="9"/>
        <v>6</v>
      </c>
    </row>
    <row r="437" spans="1:15" hidden="1" x14ac:dyDescent="0.25">
      <c r="B437" t="s">
        <v>94</v>
      </c>
      <c r="C437" s="1">
        <v>45778</v>
      </c>
      <c r="D437" t="s">
        <v>802</v>
      </c>
      <c r="E437" t="e">
        <v>#N/A</v>
      </c>
      <c r="F437" t="s">
        <v>11</v>
      </c>
      <c r="G437" s="2">
        <v>0</v>
      </c>
      <c r="H437" t="s">
        <v>29</v>
      </c>
      <c r="I437" t="s">
        <v>804</v>
      </c>
      <c r="J437" s="2">
        <v>-122.56</v>
      </c>
      <c r="K437" s="6" t="str">
        <f t="shared" si="5"/>
        <v>8.02024228506C8870X01.SI377227X89054-122.56</v>
      </c>
      <c r="L437" s="4" t="str">
        <f t="shared" si="6"/>
        <v>D</v>
      </c>
      <c r="M437" s="4">
        <f t="shared" si="7"/>
        <v>0</v>
      </c>
      <c r="N437" s="4">
        <f t="shared" si="8"/>
        <v>6</v>
      </c>
      <c r="O437" s="4">
        <f t="shared" si="9"/>
        <v>6</v>
      </c>
    </row>
    <row r="438" spans="1:15" hidden="1" x14ac:dyDescent="0.25">
      <c r="B438" t="s">
        <v>94</v>
      </c>
      <c r="C438" s="1">
        <v>45778</v>
      </c>
      <c r="D438" t="s">
        <v>802</v>
      </c>
      <c r="E438" t="e">
        <v>#N/A</v>
      </c>
      <c r="F438" t="s">
        <v>11</v>
      </c>
      <c r="G438" s="2">
        <v>0</v>
      </c>
      <c r="H438" t="s">
        <v>29</v>
      </c>
      <c r="I438" t="s">
        <v>805</v>
      </c>
      <c r="J438" s="2">
        <v>-122.56</v>
      </c>
      <c r="K438" s="6" t="str">
        <f t="shared" si="5"/>
        <v>8.02024228509C1810X01.SI377228X89054-122.56</v>
      </c>
      <c r="L438" s="4" t="str">
        <f t="shared" si="6"/>
        <v>D</v>
      </c>
      <c r="M438" s="4">
        <f t="shared" si="7"/>
        <v>0</v>
      </c>
      <c r="N438" s="4">
        <f t="shared" si="8"/>
        <v>6</v>
      </c>
      <c r="O438" s="4">
        <f t="shared" si="9"/>
        <v>6</v>
      </c>
    </row>
    <row r="439" spans="1:15" hidden="1" x14ac:dyDescent="0.25">
      <c r="B439" t="s">
        <v>94</v>
      </c>
      <c r="C439" s="1">
        <v>45778</v>
      </c>
      <c r="D439" t="s">
        <v>802</v>
      </c>
      <c r="E439" t="e">
        <v>#N/A</v>
      </c>
      <c r="F439" t="s">
        <v>11</v>
      </c>
      <c r="G439" s="2">
        <v>0</v>
      </c>
      <c r="H439" t="s">
        <v>29</v>
      </c>
      <c r="I439" t="s">
        <v>806</v>
      </c>
      <c r="J439" s="2">
        <v>-122.56</v>
      </c>
      <c r="K439" s="6" t="str">
        <f t="shared" si="5"/>
        <v>8.02024228509C1990X01.SI377225X89054-122.56</v>
      </c>
      <c r="L439" s="4" t="str">
        <f t="shared" si="6"/>
        <v>D</v>
      </c>
      <c r="M439" s="4">
        <f t="shared" si="7"/>
        <v>0</v>
      </c>
      <c r="N439" s="4">
        <f t="shared" si="8"/>
        <v>6</v>
      </c>
      <c r="O439" s="4">
        <f t="shared" si="9"/>
        <v>6</v>
      </c>
    </row>
    <row r="440" spans="1:15" hidden="1" x14ac:dyDescent="0.25">
      <c r="B440" t="s">
        <v>94</v>
      </c>
      <c r="C440" s="1">
        <v>45778</v>
      </c>
      <c r="D440" t="s">
        <v>802</v>
      </c>
      <c r="E440" t="e">
        <v>#N/A</v>
      </c>
      <c r="F440" t="s">
        <v>11</v>
      </c>
      <c r="G440" s="2">
        <v>0</v>
      </c>
      <c r="H440" t="s">
        <v>29</v>
      </c>
      <c r="I440" t="s">
        <v>807</v>
      </c>
      <c r="J440" s="2">
        <v>-81.489999999999995</v>
      </c>
      <c r="K440" s="6" t="str">
        <f t="shared" si="5"/>
        <v>8.02024229503069F0X01.SI377844X89054-81.49</v>
      </c>
      <c r="L440" s="4" t="str">
        <f t="shared" si="6"/>
        <v>D</v>
      </c>
      <c r="M440" s="4">
        <f t="shared" si="7"/>
        <v>0</v>
      </c>
      <c r="N440" s="4">
        <f t="shared" si="8"/>
        <v>6</v>
      </c>
      <c r="O440" s="4">
        <f t="shared" si="9"/>
        <v>6</v>
      </c>
    </row>
    <row r="441" spans="1:15" hidden="1" x14ac:dyDescent="0.25">
      <c r="B441" t="s">
        <v>94</v>
      </c>
      <c r="C441" s="1">
        <v>45778</v>
      </c>
      <c r="D441" t="s">
        <v>802</v>
      </c>
      <c r="E441" t="e">
        <v>#N/A</v>
      </c>
      <c r="F441" t="s">
        <v>11</v>
      </c>
      <c r="G441" s="2">
        <v>0</v>
      </c>
      <c r="H441" t="s">
        <v>29</v>
      </c>
      <c r="I441" t="s">
        <v>808</v>
      </c>
      <c r="J441" s="2">
        <v>-83.89</v>
      </c>
      <c r="K441" s="6" t="str">
        <f t="shared" si="5"/>
        <v>8.02024229504760E0X01.SI377845X89054-83.89</v>
      </c>
      <c r="L441" s="4" t="str">
        <f t="shared" si="6"/>
        <v>D</v>
      </c>
      <c r="M441" s="4">
        <f t="shared" si="7"/>
        <v>0</v>
      </c>
      <c r="N441" s="4">
        <f t="shared" si="8"/>
        <v>6</v>
      </c>
      <c r="O441" s="4">
        <f t="shared" si="9"/>
        <v>6</v>
      </c>
    </row>
    <row r="442" spans="1:15" hidden="1" x14ac:dyDescent="0.25">
      <c r="B442" t="s">
        <v>677</v>
      </c>
      <c r="C442" s="1">
        <v>45778</v>
      </c>
      <c r="D442">
        <v>1187549170</v>
      </c>
      <c r="E442" t="e">
        <v>#N/A</v>
      </c>
      <c r="F442" t="s">
        <v>11</v>
      </c>
      <c r="G442" s="2">
        <v>410.02</v>
      </c>
      <c r="H442" t="s">
        <v>678</v>
      </c>
      <c r="I442">
        <v>1187549170</v>
      </c>
      <c r="J442" s="2">
        <v>8.33</v>
      </c>
      <c r="K442" s="6" t="str">
        <f t="shared" si="5"/>
        <v>11875491708.33</v>
      </c>
      <c r="L442" s="4" t="str">
        <f t="shared" si="6"/>
        <v>N</v>
      </c>
      <c r="M442" s="4">
        <f t="shared" si="7"/>
        <v>0</v>
      </c>
      <c r="N442" s="4">
        <f t="shared" si="8"/>
        <v>1</v>
      </c>
      <c r="O442" s="4">
        <f t="shared" si="9"/>
        <v>1</v>
      </c>
    </row>
    <row r="443" spans="1:15" hidden="1" x14ac:dyDescent="0.25">
      <c r="B443" t="s">
        <v>677</v>
      </c>
      <c r="C443" s="1">
        <v>45778</v>
      </c>
      <c r="D443">
        <v>1187549169</v>
      </c>
      <c r="E443" t="e">
        <v>#N/A</v>
      </c>
      <c r="F443" t="s">
        <v>11</v>
      </c>
      <c r="G443" s="2">
        <v>10.65</v>
      </c>
      <c r="H443" t="s">
        <v>678</v>
      </c>
      <c r="I443">
        <v>1187549169</v>
      </c>
      <c r="J443" s="2">
        <v>0.22</v>
      </c>
      <c r="K443" s="6" t="str">
        <f t="shared" si="5"/>
        <v>11875491690.22</v>
      </c>
      <c r="L443" s="4" t="str">
        <f t="shared" si="6"/>
        <v>N</v>
      </c>
      <c r="M443" s="4">
        <f t="shared" si="7"/>
        <v>0</v>
      </c>
      <c r="N443" s="4">
        <f t="shared" si="8"/>
        <v>1</v>
      </c>
      <c r="O443" s="4">
        <f t="shared" si="9"/>
        <v>1</v>
      </c>
    </row>
  </sheetData>
  <sheetCalcPr fullCalcOnLoad="1"/>
  <autoFilter ref="A1:O443" xr:uid="{A5BE0A00-62E0-4CDC-9052-21AA6D744774}">
    <filterColumn colId="10">
      <colorFilter dxfId="0"/>
    </filterColumn>
    <sortState xmlns:xlrd2="http://schemas.microsoft.com/office/spreadsheetml/2017/richdata2" ref="A2:O379">
      <sortCondition ref="K1:K443"/>
    </sortState>
  </autoFilter>
  <conditionalFormatting sqref="D1:D1048576">
    <cfRule type="duplicateValues" dxfId="2" priority="2"/>
  </conditionalFormatting>
  <conditionalFormatting sqref="K2:K443">
    <cfRule type="duplicateValues" dxfId="1" priority="1" stopIfTrue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PSMG</vt:lpstr>
      <vt:lpstr>SCMG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Rusan</dc:creator>
  <cp:lastModifiedBy>MIS</cp:lastModifiedBy>
  <dcterms:created xsi:type="dcterms:W3CDTF">2025-06-20T09:55:16Z</dcterms:created>
  <dcterms:modified xsi:type="dcterms:W3CDTF">2025-06-26T12:48:07Z</dcterms:modified>
</cp:coreProperties>
</file>